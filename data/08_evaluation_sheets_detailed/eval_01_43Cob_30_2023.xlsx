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color rgb="001F4E79"/>
      <sz val="14"/>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4"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5"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43Cob/30/2023</t>
        </is>
      </c>
    </row>
    <row r="2" ht="18" customHeight="1">
      <c r="A2" s="2" t="inlineStr">
        <is>
          <t>Dokument: KS_Banská_Bystrica_43Cob_30_2023_00_dokument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~45-60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20" customHeight="1">
      <c r="A23" s="12" t="inlineStr">
        <is>
          <t>áno/nie — pre KATEGORICKÉ polia (typ zmluvy, vzťah strán, ...). Buď systém trafil alebo netrafil.</t>
        </is>
      </c>
    </row>
    <row r="24" ht="36" customHeight="1">
      <c r="A24" s="12" t="inlineStr">
        <is>
          <t>áno/čiastočne/nie — pre polia s NUANSAMI (sumy, výrok súdu, ...). 'čiastočne' = blízko ale nie presne (napr. 350 000 namiesto 350 734,12).</t>
        </is>
      </c>
    </row>
    <row r="25" ht="20" customHeight="1">
      <c r="A25" s="12" t="inlineStr">
        <is>
          <t>áno/čiastočne/nie/N/A — ako vyššie, plus 'N/A' ak pole neplatí (napr. dôvod zamietnutia, keď nebolo zamietnuté).</t>
        </is>
      </c>
    </row>
    <row r="26" ht="20" customHeight="1">
      <c r="A26" s="12" t="inlineStr">
        <is>
          <t>áno/čiastočne/nie/neviem — pre FAKTORY primeranosti, keď neviete posúdiť.</t>
        </is>
      </c>
    </row>
    <row r="27" ht="20" customHeight="1">
      <c r="A27" s="12" t="inlineStr">
        <is>
          <t>Škála 1-10 — pre TEXTOVÉ polia (zhrnutie sporu, zhrnutie odôvodnenia) a celkový dojem. 1 = zlé/vymyslené, 10 = výborné/presné.</t>
        </is>
      </c>
    </row>
    <row r="30" ht="22" customHeight="1">
      <c r="A30" s="13" t="inlineStr">
        <is>
          <t>═══ SEKCIA 1 — KONTEXT SPORU ═══</t>
        </is>
      </c>
    </row>
    <row r="31" ht="40" customHeight="1">
      <c r="A31" s="14" t="inlineStr">
        <is>
          <t>Základný kontext: o čom je celý spor (textové zhrnutie), aký typ zmluvy je predmetom a kto sú strany. Začíname textovým zhrnutím, lebo je to najlepší spôsob, ako rýchlo pochopiť, o čo v spore ide.</t>
        </is>
      </c>
    </row>
    <row r="32" ht="22" customHeight="1">
      <c r="A32" s="15" t="inlineStr">
        <is>
          <t>1.1 ZHRNUTIE SPORU — vystihuje systém podstatu sporu a čo žalobca požadoval? (1-10)</t>
        </is>
      </c>
    </row>
    <row r="33" ht="22" customHeight="1">
      <c r="A33" s="16" t="inlineStr">
        <is>
          <t>Systém</t>
        </is>
      </c>
      <c r="B33" s="16" t="inlineStr">
        <is>
          <t>Text extrakcie</t>
        </is>
      </c>
      <c r="G33" s="16" t="inlineStr">
        <is>
          <t>Skóre 1-10</t>
        </is>
      </c>
    </row>
    <row r="34" ht="59" customHeight="1">
      <c r="A34" s="17" t="inlineStr">
        <is>
          <t>GPT-4o RAG</t>
        </is>
      </c>
      <c r="B34" s="18" t="inlineStr">
        <is>
          <t>Žalobca ViaStav BB s.r.o. sa domáhal úhrady istiny 101.171,10 Eur z titulu neuhradenej ceny prác na diele R2N BUSINESS CENTER podľa Zmluvy o dielo č. 02/2019/R2N-VIASTAV. Žalovaný SLOB-real, s.r.o. si uplatnil nárok na zmluvnú pokutu za omeškanie s odovzdaním diela.</t>
        </is>
      </c>
      <c r="G34" s="19" t="n"/>
    </row>
    <row r="35" ht="59" customHeight="1">
      <c r="A35" s="17" t="inlineStr">
        <is>
          <t>GPT-4o Full</t>
        </is>
      </c>
      <c r="B35" s="18" t="inlineStr">
        <is>
          <t>Žalobca ViaStav BB s.r.o. sa domáhal úhrady istiny 101.171,10 Eur z titulu neuhradenej ceny prác na diele R2N BUSINESS CENTER - Rekonštrukcia objektu podľa Zmluvy o dielo. Žalovaný SLOB-real, s.r.o. si uplatnil nárok na zmluvnú pokutu za omeškanie s odovzdaním diela.</t>
        </is>
      </c>
      <c r="G35" s="19" t="n"/>
    </row>
    <row r="36" ht="42" customHeight="1">
      <c r="A36" s="17" t="inlineStr">
        <is>
          <t>Gemini RAG</t>
        </is>
      </c>
      <c r="B36" s="18" t="inlineStr">
        <is>
          <t>Žalobca sa domáhal úhrady istiny 101.171,10 Eur s príslušenstvom z titulu neuhradenej ceny prác na diele. Žalovaný si uplatnil nárok na zmluvnú pokutu za omeškanie s odovzdaním diela a bránil sa kompenzačnou námietkou.</t>
        </is>
      </c>
      <c r="G36" s="19" t="n"/>
    </row>
    <row r="37" ht="59" customHeight="1">
      <c r="A37" s="17" t="inlineStr">
        <is>
          <t>Gemini Full</t>
        </is>
      </c>
      <c r="B37" s="18" t="inlineStr">
        <is>
          <t>Žalobca sa domáhal od žalovaného úhrady istiny 101.171,10 Eur s príslušenstvom z titulu neuhradenej ceny prác na diele podľa Zmluvy o dielo. Žalovaný si uplatnil kompenzačnú námietku na zmluvnú pokutu za omeškanie žalobcu s odovzdaním diela.</t>
        </is>
      </c>
      <c r="G37" s="19" t="n"/>
    </row>
    <row r="38" ht="59" customHeight="1">
      <c r="A38" s="17" t="inlineStr">
        <is>
          <t>Qwen 3.5 RAG</t>
        </is>
      </c>
      <c r="B38" s="18" t="inlineStr">
        <is>
          <t>Žalobca sa domáhal zaplatenia ceny za stavebné práce podľa Zmluvy o dielo, pričom žalovaný uplatnil kompenzačnú námietku voči nároku na zmluvnú pokutu za oneskorené odovzdanie diela. Spor sa týkal oprávnenosti fakturácie naviac prác v čiastkových faktúrach a výšky zmluvnej pokuty za omeškanie zhotoviteľa.</t>
        </is>
      </c>
      <c r="G38" s="19" t="n"/>
    </row>
    <row r="39" ht="59" customHeight="1">
      <c r="A39" s="17" t="inlineStr">
        <is>
          <t>Qwen 3.5 Full</t>
        </is>
      </c>
      <c r="B39" s="18" t="inlineStr">
        <is>
          <t>Žalobca sa domáhal zaplatenia ceny za stavebné práce a viacpráce vo výške 101.171,10 EUR. Žalovaný uplatnil kompenzačnú námietku voči nároku na zmluvnú pokutu za omeškanie s odovzdaním diela, ktorú pôvodne vyčísli na sumu prevyšujúcu pohľadávku, no súd ju moderoval.</t>
        </is>
      </c>
      <c r="G39" s="19" t="n"/>
    </row>
    <row r="41" ht="22" customHeight="1">
      <c r="A41" s="16" t="inlineStr">
        <is>
          <t>Pole / Otázka</t>
        </is>
      </c>
      <c r="B41" s="16" t="inlineStr">
        <is>
          <t>GPT-4o RAG</t>
        </is>
      </c>
      <c r="C41" s="16" t="inlineStr">
        <is>
          <t>GPT-4o Full</t>
        </is>
      </c>
      <c r="D41" s="16" t="inlineStr">
        <is>
          <t>Gemini RAG</t>
        </is>
      </c>
      <c r="E41" s="16" t="inlineStr">
        <is>
          <t>Gemini Full</t>
        </is>
      </c>
      <c r="F41" s="16" t="inlineStr">
        <is>
          <t>Qwen 3.5 RAG</t>
        </is>
      </c>
      <c r="G41" s="16" t="inlineStr">
        <is>
          <t>Qwen 3.5 Full</t>
        </is>
      </c>
    </row>
    <row r="42" ht="26" customHeight="1">
      <c r="A42" s="20" t="inlineStr">
        <is>
          <t>POČET POKÚT — koľko samostatných zmluvných pokút systémy našli v rozhodnutí?</t>
        </is>
      </c>
      <c r="B42" s="18" t="inlineStr">
        <is>
          <t>1</t>
        </is>
      </c>
      <c r="C42" s="18" t="inlineStr">
        <is>
          <t>1</t>
        </is>
      </c>
      <c r="D42" s="18" t="inlineStr">
        <is>
          <t>1</t>
        </is>
      </c>
      <c r="E42" s="18" t="inlineStr">
        <is>
          <t>1</t>
        </is>
      </c>
      <c r="F42" s="18" t="inlineStr">
        <is>
          <t>1</t>
        </is>
      </c>
      <c r="G42" s="18" t="inlineStr">
        <is>
          <t>1</t>
        </is>
      </c>
    </row>
    <row r="43" ht="36" customHeight="1">
      <c r="A43" s="21" t="inlineStr">
        <is>
          <t>1.2 Je počet pokút správne identifikovaný?</t>
        </is>
      </c>
      <c r="B43" s="22" t="n"/>
      <c r="C43" s="23">
        <f>IF(B43="","",B43)</f>
        <v/>
      </c>
      <c r="D43" s="23">
        <f>IF(B43="","",B43)</f>
        <v/>
      </c>
      <c r="E43" s="23">
        <f>IF(B43="","",B43)</f>
        <v/>
      </c>
      <c r="F43" s="23">
        <f>IF(B43="","",B43)</f>
        <v/>
      </c>
      <c r="G43" s="23">
        <f>IF(B43="","",B43)</f>
        <v/>
      </c>
    </row>
    <row r="44" ht="26" customHeight="1">
      <c r="A44" s="20" t="inlineStr">
        <is>
          <t>TYP ZMLUVY — aká zmluva je predmetom sporu? (nájom, dielo, úver, kúpna, ...)</t>
        </is>
      </c>
      <c r="B44" s="18" t="inlineStr">
        <is>
          <t>Dielo</t>
        </is>
      </c>
      <c r="C44" s="18" t="inlineStr">
        <is>
          <t>Dielo</t>
        </is>
      </c>
      <c r="D44" s="18" t="inlineStr">
        <is>
          <t>Dielo</t>
        </is>
      </c>
      <c r="E44" s="18" t="inlineStr">
        <is>
          <t>Dielo</t>
        </is>
      </c>
      <c r="F44" s="18" t="inlineStr">
        <is>
          <t>Dielo</t>
        </is>
      </c>
      <c r="G44" s="18" t="inlineStr">
        <is>
          <t>Dielo</t>
        </is>
      </c>
    </row>
    <row r="45" ht="36" customHeight="1">
      <c r="A45" s="21" t="inlineStr">
        <is>
          <t>1.3 Je typ zmluvy správne identifikovaný?</t>
        </is>
      </c>
      <c r="B45" s="22" t="n"/>
      <c r="C45" s="23">
        <f>IF(B45="","",B45)</f>
        <v/>
      </c>
      <c r="D45" s="23">
        <f>IF(B45="","",B45)</f>
        <v/>
      </c>
      <c r="E45" s="23">
        <f>IF(B45="","",B45)</f>
        <v/>
      </c>
      <c r="F45" s="23">
        <f>IF(B45="","",B45)</f>
        <v/>
      </c>
      <c r="G45" s="23">
        <f>IF(B45="","",B45)</f>
        <v/>
      </c>
    </row>
    <row r="46" ht="26" customHeight="1">
      <c r="A46" s="20" t="inlineStr">
        <is>
          <t>VZŤAH STRÁN — kto sú zmluvné strany? (B2B = firma-firma, B2C = firma-spotrebiteľ, B2G = firma-štát)</t>
        </is>
      </c>
      <c r="B46" s="18" t="inlineStr">
        <is>
          <t>B2B (podnikateľ-podnikateľ)</t>
        </is>
      </c>
      <c r="C46" s="18" t="inlineStr">
        <is>
          <t>B2B (podnikateľ-podnikateľ)</t>
        </is>
      </c>
      <c r="D46" s="18" t="inlineStr">
        <is>
          <t>B2B (podnikateľ-podnikateľ)</t>
        </is>
      </c>
      <c r="E46" s="18" t="inlineStr">
        <is>
          <t>B2B (podnikateľ-podnikateľ)</t>
        </is>
      </c>
      <c r="F46" s="18" t="inlineStr">
        <is>
          <t>B2B (podnikateľ-podnikateľ)</t>
        </is>
      </c>
      <c r="G46" s="18" t="inlineStr">
        <is>
          <t>B2B (podnikateľ-podnikateľ)</t>
        </is>
      </c>
    </row>
    <row r="47" ht="36" customHeight="1">
      <c r="A47" s="21" t="inlineStr">
        <is>
          <t>1.4 Je vzťah strán správne klasifikovaný?</t>
        </is>
      </c>
      <c r="B47" s="22" t="n"/>
      <c r="C47" s="23">
        <f>IF(B47="","",B47)</f>
        <v/>
      </c>
      <c r="D47" s="23">
        <f>IF(B47="","",B47)</f>
        <v/>
      </c>
      <c r="E47" s="23">
        <f>IF(B47="","",B47)</f>
        <v/>
      </c>
      <c r="F47" s="23">
        <f>IF(B47="","",B47)</f>
        <v/>
      </c>
      <c r="G47" s="23">
        <f>IF(B47="","",B47)</f>
        <v/>
      </c>
    </row>
    <row r="49" ht="22" customHeight="1">
      <c r="A49" s="13" t="inlineStr">
        <is>
          <t>═══ SEKCIA 2 — PARAMETRE ZMLUVNEJ POKUTY ═══</t>
        </is>
      </c>
    </row>
    <row r="50" ht="40" customHeight="1">
      <c r="A50" s="14" t="inlineStr">
        <is>
          <t>Detailné parametre samotnej pokuty: za aké porušenie sa uplatňuje, akou metódou sa počíta, presný text klauzuly a konkrétne sumy. Toto sú technické fakty, ktoré by mal systém vedieť presne extrahovať.</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26" customHeight="1">
      <c r="A52" s="20" t="inlineStr">
        <is>
          <t>TYP PORUŠENIA — za čo sa pokuta uplatňuje? (omeškanie platby, nesplnenie, porušenie mlčanlivosti, ...)</t>
        </is>
      </c>
      <c r="B52" s="18" t="inlineStr">
        <is>
          <t>Porušenie nepeňažnej povinnosti</t>
        </is>
      </c>
      <c r="C52" s="18" t="inlineStr">
        <is>
          <t>Porušenie nepeňažnej povinnosti</t>
        </is>
      </c>
      <c r="D52" s="18" t="inlineStr">
        <is>
          <t>Porušenie nepeňažnej povinnosti</t>
        </is>
      </c>
      <c r="E52" s="18" t="inlineStr">
        <is>
          <t>Porušenie nepeňažnej povinnosti</t>
        </is>
      </c>
      <c r="F52" s="18" t="inlineStr">
        <is>
          <t>Porušenie nepeňažnej povinnosti</t>
        </is>
      </c>
      <c r="G52" s="18" t="inlineStr">
        <is>
          <t>Porušenie nepeňažnej povinnosti</t>
        </is>
      </c>
    </row>
    <row r="53" ht="36" customHeight="1">
      <c r="A53" s="21" t="inlineStr">
        <is>
          <t>2.1 Je typ porušenia zmluvy správne identifikovaný?</t>
        </is>
      </c>
      <c r="B53" s="22" t="n"/>
      <c r="C53" s="23">
        <f>IF(B53="","",B53)</f>
        <v/>
      </c>
      <c r="D53" s="23">
        <f>IF(B53="","",B53)</f>
        <v/>
      </c>
      <c r="E53" s="23">
        <f>IF(B53="","",B53)</f>
        <v/>
      </c>
      <c r="F53" s="23">
        <f>IF(B53="","",B53)</f>
        <v/>
      </c>
      <c r="G53" s="23">
        <f>IF(B53="","",B53)</f>
        <v/>
      </c>
    </row>
    <row r="54" ht="26" customHeight="1">
      <c r="A54" s="20" t="inlineStr">
        <is>
          <t>TYP VÝPOČTU POKUTY — akou metódou sa pokuta počíta? (% denne, fixná suma, % jednorazovo, ...)</t>
        </is>
      </c>
      <c r="B54" s="18" t="inlineStr">
        <is>
          <t>% denne</t>
        </is>
      </c>
      <c r="C54" s="18" t="inlineStr">
        <is>
          <t>% denne</t>
        </is>
      </c>
      <c r="D54" s="18" t="inlineStr">
        <is>
          <t>% denne</t>
        </is>
      </c>
      <c r="E54" s="18" t="inlineStr">
        <is>
          <t>% denne</t>
        </is>
      </c>
      <c r="F54" s="18" t="inlineStr">
        <is>
          <t>% z ceny</t>
        </is>
      </c>
      <c r="G54" s="18" t="inlineStr">
        <is>
          <t>% denne</t>
        </is>
      </c>
    </row>
    <row r="55" ht="36" customHeight="1">
      <c r="A55" s="21" t="inlineStr">
        <is>
          <t>2.2 Je spôsob výpočtu pokuty správne klasifikovaný?</t>
        </is>
      </c>
      <c r="B55" s="22" t="n"/>
      <c r="C55" s="23">
        <f>IF(B55="","",B55)</f>
        <v/>
      </c>
      <c r="D55" s="23">
        <f>IF(B55="","",B55)</f>
        <v/>
      </c>
      <c r="E55" s="23">
        <f>IF(B55="","",B55)</f>
        <v/>
      </c>
      <c r="F55" s="22" t="n"/>
      <c r="G55" s="23">
        <f>IF(B55="","",B55)</f>
        <v/>
      </c>
    </row>
    <row r="56" ht="45" customHeight="1">
      <c r="A56" s="20" t="inlineStr">
        <is>
          <t>PRESNÝ TEXT ZMLUVNEJ KLAUZULY — doslovne zo zmluvy, napr. '0,05% denne z dlžnej sumy'</t>
        </is>
      </c>
      <c r="B56" s="18" t="inlineStr">
        <is>
          <t>2,5 % denne</t>
        </is>
      </c>
      <c r="C56" s="18" t="inlineStr">
        <is>
          <t>2,5 % denne</t>
        </is>
      </c>
      <c r="D56" s="18" t="inlineStr">
        <is>
          <t>2,5% denne</t>
        </is>
      </c>
      <c r="E56" s="18" t="inlineStr">
        <is>
          <t>2,5 % za každý deň omeškania z ceny diela</t>
        </is>
      </c>
      <c r="F56" s="18" t="inlineStr">
        <is>
          <t>2,5% denne z ceny diela</t>
        </is>
      </c>
      <c r="G56" s="18" t="inlineStr">
        <is>
          <t>2,5% za každý aj začatý deň omeškania</t>
        </is>
      </c>
    </row>
    <row r="57" ht="36" customHeight="1">
      <c r="A57" s="21" t="inlineStr">
        <is>
          <t>2.3 Zodpovedá extrahovaný text skutočnej klauzule v zmluve?</t>
        </is>
      </c>
      <c r="B57" s="22" t="n"/>
      <c r="C57" s="23">
        <f>IF(B57="","",B57)</f>
        <v/>
      </c>
      <c r="D57" s="22" t="n"/>
      <c r="E57" s="22" t="n"/>
      <c r="F57" s="22" t="n"/>
      <c r="G57" s="22" t="n"/>
    </row>
    <row r="58" ht="26" customHeight="1">
      <c r="A58" s="20" t="inlineStr">
        <is>
          <t>ISTINA — suma, z ktorej sa pokuta počíta (napr. cena diela, dlžná suma, hodnota tovaru)</t>
        </is>
      </c>
      <c r="B58" s="18" t="inlineStr">
        <is>
          <t>218 548,11 EUR</t>
        </is>
      </c>
      <c r="C58" s="18" t="inlineStr">
        <is>
          <t>218 548,11 EUR</t>
        </is>
      </c>
      <c r="D58" s="18" t="inlineStr">
        <is>
          <t>218 548,11 EUR</t>
        </is>
      </c>
      <c r="E58" s="18" t="inlineStr">
        <is>
          <t>218 548,11 EUR</t>
        </is>
      </c>
      <c r="F58" s="18" t="inlineStr">
        <is>
          <t>218 548,11 EUR</t>
        </is>
      </c>
      <c r="G58" s="18" t="inlineStr">
        <is>
          <t>218 548,11 EUR</t>
        </is>
      </c>
    </row>
    <row r="59" ht="36" customHeight="1">
      <c r="A59" s="21" t="inlineStr">
        <is>
          <t>2.4 Je suma istiny presná?</t>
        </is>
      </c>
      <c r="B59" s="22" t="n"/>
      <c r="C59" s="23">
        <f>IF(B59="","",B59)</f>
        <v/>
      </c>
      <c r="D59" s="23">
        <f>IF(B59="","",B59)</f>
        <v/>
      </c>
      <c r="E59" s="23">
        <f>IF(B59="","",B59)</f>
        <v/>
      </c>
      <c r="F59" s="23">
        <f>IF(B59="","",B59)</f>
        <v/>
      </c>
      <c r="G59" s="23">
        <f>IF(B59="","",B59)</f>
        <v/>
      </c>
    </row>
    <row r="60" ht="26" customHeight="1">
      <c r="A60" s="20" t="inlineStr">
        <is>
          <t>ŽIADANÁ SUMA POKUTY — koľko žalobca od súdu pôvodne žiadal ako pokutu</t>
        </is>
      </c>
      <c r="B60" s="18" t="inlineStr">
        <is>
          <t>139 870,80 EUR</t>
        </is>
      </c>
      <c r="C60" s="18" t="inlineStr">
        <is>
          <t>748 527,26 EUR</t>
        </is>
      </c>
      <c r="D60" s="18" t="inlineStr">
        <is>
          <t>139 870,80 EUR</t>
        </is>
      </c>
      <c r="E60" s="18" t="inlineStr">
        <is>
          <t>748 527,28 EUR</t>
        </is>
      </c>
      <c r="F60" s="18" t="inlineStr">
        <is>
          <t>139 870,80 EUR</t>
        </is>
      </c>
      <c r="G60" s="18" t="inlineStr">
        <is>
          <t>748 527,26 EUR</t>
        </is>
      </c>
    </row>
    <row r="61" ht="36" customHeight="1">
      <c r="A61" s="21" t="inlineStr">
        <is>
          <t>2.5 Je žiadaná suma presná?</t>
        </is>
      </c>
      <c r="B61" s="22" t="n"/>
      <c r="C61" s="22" t="n"/>
      <c r="D61" s="23">
        <f>IF(B61="","",B61)</f>
        <v/>
      </c>
      <c r="E61" s="22" t="n"/>
      <c r="F61" s="23">
        <f>IF(B61="","",B61)</f>
        <v/>
      </c>
      <c r="G61" s="23">
        <f>IF(C61="","",C61)</f>
        <v/>
      </c>
    </row>
    <row r="62" ht="26" customHeight="1">
      <c r="A62" s="20" t="inlineStr">
        <is>
          <t>PRIZNANÁ SUMA POKUTY — koľko súd napokon priznal (po prípadnej moderácii podľa § 301)</t>
        </is>
      </c>
      <c r="B62" s="18" t="inlineStr">
        <is>
          <t>69 935,40 EUR</t>
        </is>
      </c>
      <c r="C62" s="18" t="inlineStr">
        <is>
          <t>69 935,40 EUR</t>
        </is>
      </c>
      <c r="D62" s="18" t="inlineStr">
        <is>
          <t>69 935,40 EUR</t>
        </is>
      </c>
      <c r="E62" s="18" t="inlineStr">
        <is>
          <t>69 935,40 EUR</t>
        </is>
      </c>
      <c r="F62" s="18" t="inlineStr">
        <is>
          <t>69 935,40 EUR</t>
        </is>
      </c>
      <c r="G62" s="18" t="inlineStr">
        <is>
          <t>69 935,40 EUR</t>
        </is>
      </c>
    </row>
    <row r="63" ht="36" customHeight="1">
      <c r="A63" s="21" t="inlineStr">
        <is>
          <t>2.6 Je priznaná suma presná?</t>
        </is>
      </c>
      <c r="B63" s="22" t="n"/>
      <c r="C63" s="23">
        <f>IF(B63="","",B63)</f>
        <v/>
      </c>
      <c r="D63" s="23">
        <f>IF(B63="","",B63)</f>
        <v/>
      </c>
      <c r="E63" s="23">
        <f>IF(B63="","",B63)</f>
        <v/>
      </c>
      <c r="F63" s="23">
        <f>IF(B63="","",B63)</f>
        <v/>
      </c>
      <c r="G63" s="23">
        <f>IF(B63="","",B63)</f>
        <v/>
      </c>
    </row>
    <row r="65" ht="22" customHeight="1">
      <c r="A65" s="13" t="inlineStr">
        <is>
          <t>═══ SEKCIA 3 — ÚROK Z OMEŠKANIA (Z POKUTY) ═══</t>
        </is>
      </c>
    </row>
    <row r="66" ht="40" customHeight="1">
      <c r="A66" s="14" t="inlineStr">
        <is>
          <t>K priznanej pokute môže súd priznať aj úrok z omeškania. Hodnotíme, či systémy správne rozpoznali, či úrok bol priznaný a v akej výške.</t>
        </is>
      </c>
    </row>
    <row r="67" ht="22" customHeight="1">
      <c r="A67" s="16" t="inlineStr">
        <is>
          <t>Pole / Otázka</t>
        </is>
      </c>
      <c r="B67" s="16" t="inlineStr">
        <is>
          <t>GPT-4o RAG</t>
        </is>
      </c>
      <c r="C67" s="16" t="inlineStr">
        <is>
          <t>GPT-4o Full</t>
        </is>
      </c>
      <c r="D67" s="16" t="inlineStr">
        <is>
          <t>Gemini RAG</t>
        </is>
      </c>
      <c r="E67" s="16" t="inlineStr">
        <is>
          <t>Gemini Full</t>
        </is>
      </c>
      <c r="F67" s="16" t="inlineStr">
        <is>
          <t>Qwen 3.5 RAG</t>
        </is>
      </c>
      <c r="G67" s="16" t="inlineStr">
        <is>
          <t>Qwen 3.5 Full</t>
        </is>
      </c>
    </row>
    <row r="68" ht="26" customHeight="1">
      <c r="A68" s="20" t="inlineStr">
        <is>
          <t>BOL PRIZNANÝ ÚROK Z OMEŠKANIA Z POKUTY? — áno / nie / nejasné</t>
        </is>
      </c>
      <c r="B68" s="18" t="inlineStr">
        <is>
          <t>nie</t>
        </is>
      </c>
      <c r="C68" s="18" t="inlineStr">
        <is>
          <t>áno</t>
        </is>
      </c>
      <c r="D68" s="18" t="inlineStr">
        <is>
          <t>áno</t>
        </is>
      </c>
      <c r="E68" s="18" t="inlineStr">
        <is>
          <t>nie</t>
        </is>
      </c>
      <c r="F68" s="18" t="inlineStr">
        <is>
          <t>áno</t>
        </is>
      </c>
      <c r="G68" s="18" t="inlineStr">
        <is>
          <t>nie</t>
        </is>
      </c>
    </row>
    <row r="69" ht="36" customHeight="1">
      <c r="A69" s="21" t="inlineStr">
        <is>
          <t>3.1 Je identifikácia, či bol priznaný úrok, správna?</t>
        </is>
      </c>
      <c r="B69" s="22" t="n"/>
      <c r="C69" s="22" t="n"/>
      <c r="D69" s="23">
        <f>IF(C69="","",C69)</f>
        <v/>
      </c>
      <c r="E69" s="23">
        <f>IF(B69="","",B69)</f>
        <v/>
      </c>
      <c r="F69" s="23">
        <f>IF(C69="","",C69)</f>
        <v/>
      </c>
      <c r="G69" s="23">
        <f>IF(B69="","",B69)</f>
        <v/>
      </c>
    </row>
    <row r="70" ht="26" customHeight="1">
      <c r="A70" s="20" t="inlineStr">
        <is>
          <t>SADZBA ÚROKU — napr. '9% ročne z 1 000 EUR'</t>
        </is>
      </c>
      <c r="B70" s="18" t="inlineStr">
        <is>
          <t>—</t>
        </is>
      </c>
      <c r="C70" s="18" t="inlineStr">
        <is>
          <t>9 % ročne</t>
        </is>
      </c>
      <c r="D70" s="18" t="inlineStr">
        <is>
          <t>9 % ročne</t>
        </is>
      </c>
      <c r="E70" s="18" t="inlineStr">
        <is>
          <t>—</t>
        </is>
      </c>
      <c r="F70" s="18" t="inlineStr">
        <is>
          <t>9 % ročne</t>
        </is>
      </c>
      <c r="G70" s="18" t="inlineStr">
        <is>
          <t>—</t>
        </is>
      </c>
    </row>
    <row r="71" ht="36" customHeight="1">
      <c r="A71" s="21" t="inlineStr">
        <is>
          <t>3.2 Je sadzba úroku presne uvedená?</t>
        </is>
      </c>
      <c r="B71" s="22" t="n"/>
      <c r="C71" s="22" t="n"/>
      <c r="D71" s="23">
        <f>IF(C71="","",C71)</f>
        <v/>
      </c>
      <c r="E71" s="22" t="n"/>
      <c r="F71" s="23">
        <f>IF(C71="","",C71)</f>
        <v/>
      </c>
      <c r="G71" s="22" t="n"/>
    </row>
    <row r="73" ht="22" customHeight="1">
      <c r="A73" s="13" t="inlineStr">
        <is>
          <t>═══ SEKCIA 4 — ROZHODNUTIE SÚDU A ODÔVODNENIE ═══</t>
        </is>
      </c>
    </row>
    <row r="74" ht="40" customHeight="1">
      <c r="A74" s="14" t="inlineStr">
        <is>
          <t>Finálny výrok súdu o pokute (moderoval / priznal plne / zamietol / vrátil) plus textové zhrnutie odôvodnenia. Toto sú kľúčové informácie — práve tu modely často halucinujú falošné výroky alebo zlé moderácie!</t>
        </is>
      </c>
    </row>
    <row r="75" ht="22" customHeight="1">
      <c r="A75" s="16" t="inlineStr">
        <is>
          <t>Pole / Otázka</t>
        </is>
      </c>
      <c r="B75" s="16" t="inlineStr">
        <is>
          <t>GPT-4o RAG</t>
        </is>
      </c>
      <c r="C75" s="16" t="inlineStr">
        <is>
          <t>GPT-4o Full</t>
        </is>
      </c>
      <c r="D75" s="16" t="inlineStr">
        <is>
          <t>Gemini RAG</t>
        </is>
      </c>
      <c r="E75" s="16" t="inlineStr">
        <is>
          <t>Gemini Full</t>
        </is>
      </c>
      <c r="F75" s="16" t="inlineStr">
        <is>
          <t>Qwen 3.5 RAG</t>
        </is>
      </c>
      <c r="G75" s="16" t="inlineStr">
        <is>
          <t>Qwen 3.5 Full</t>
        </is>
      </c>
    </row>
    <row r="76" ht="26" customHeight="1">
      <c r="A76" s="20" t="inlineStr">
        <is>
          <t>VÝROK O POKUTE — čo súd urobil? (moderoval § 301 / priznal plne / zamietol / vrátil ...)</t>
        </is>
      </c>
      <c r="B76" s="18" t="inlineStr">
        <is>
          <t>Moderovaná (§ 301 ObchZ)</t>
        </is>
      </c>
      <c r="C76" s="18" t="inlineStr">
        <is>
          <t>Moderovaná (§ 301 ObchZ)</t>
        </is>
      </c>
      <c r="D76" s="18" t="inlineStr">
        <is>
          <t>Moderovaná (§ 301 ObchZ)</t>
        </is>
      </c>
      <c r="E76" s="18" t="inlineStr">
        <is>
          <t>Moderovaná (§ 301 ObchZ)</t>
        </is>
      </c>
      <c r="F76" s="18" t="inlineStr">
        <is>
          <t>Moderovaná (§ 301 ObchZ)</t>
        </is>
      </c>
      <c r="G76" s="18" t="inlineStr">
        <is>
          <t>Moderovaná (§ 301 ObchZ)</t>
        </is>
      </c>
    </row>
    <row r="77" ht="36" customHeight="1">
      <c r="A77" s="21" t="inlineStr">
        <is>
          <t>4.1 Je výrok súdu o pokute presne identifikovaný?</t>
        </is>
      </c>
      <c r="B77" s="22" t="n"/>
      <c r="C77" s="23">
        <f>IF(B77="","",B77)</f>
        <v/>
      </c>
      <c r="D77" s="23">
        <f>IF(B77="","",B77)</f>
        <v/>
      </c>
      <c r="E77" s="23">
        <f>IF(B77="","",B77)</f>
        <v/>
      </c>
      <c r="F77" s="23">
        <f>IF(B77="","",B77)</f>
        <v/>
      </c>
      <c r="G77" s="23">
        <f>IF(B77="","",B77)</f>
        <v/>
      </c>
    </row>
    <row r="78" ht="26" customHeight="1">
      <c r="A78" s="20" t="inlineStr">
        <is>
          <t>DÔVOD ZAMIETNUTIA — iba ak súd pokutu zamietol (neplatná klauzula, nepreukázané porušenie, ...)</t>
        </is>
      </c>
      <c r="B78" s="18" t="inlineStr">
        <is>
          <t>—</t>
        </is>
      </c>
      <c r="C78" s="18" t="inlineStr">
        <is>
          <t>—</t>
        </is>
      </c>
      <c r="D78" s="18" t="inlineStr">
        <is>
          <t>—</t>
        </is>
      </c>
      <c r="E78" s="18" t="inlineStr">
        <is>
          <t>—</t>
        </is>
      </c>
      <c r="F78" s="18" t="inlineStr">
        <is>
          <t>—</t>
        </is>
      </c>
      <c r="G78" s="18" t="inlineStr">
        <is>
          <t>—</t>
        </is>
      </c>
    </row>
    <row r="79" ht="36" customHeight="1">
      <c r="A79" s="21" t="inlineStr">
        <is>
          <t>4.2 Je dôvod zamietnutia presne identifikovaný?</t>
        </is>
      </c>
      <c r="B79" s="22" t="n"/>
      <c r="C79" s="22" t="n"/>
      <c r="D79" s="22" t="n"/>
      <c r="E79" s="22" t="n"/>
      <c r="F79" s="22" t="n"/>
      <c r="G79" s="22" t="n"/>
    </row>
    <row r="81" ht="22" customHeight="1">
      <c r="A81" s="15" t="inlineStr">
        <is>
          <t>4.3 ZHRNUTIE ODÔVODNENIA SÚDU — zachytáva systém kľúčové argumenty, prečo súd rozhodol tak ako rozhodol? (1-10)</t>
        </is>
      </c>
    </row>
    <row r="82" ht="22" customHeight="1">
      <c r="A82" s="16" t="inlineStr">
        <is>
          <t>Systém</t>
        </is>
      </c>
      <c r="B82" s="16" t="inlineStr">
        <is>
          <t>Text extrakcie</t>
        </is>
      </c>
      <c r="G82" s="16" t="inlineStr">
        <is>
          <t>Skóre 1-10</t>
        </is>
      </c>
    </row>
    <row r="83" ht="76" customHeight="1">
      <c r="A83" s="17" t="inlineStr">
        <is>
          <t>GPT-4o RAG</t>
        </is>
      </c>
      <c r="B83" s="18" t="inlineStr">
        <is>
          <t>Súd prvej inštancie znížil zmluvnú pokutu z pôvodne uplatňovanej sumy 139.870,80 Eur na 69.935,40 Eur. Dôvodom bola neprimeranosť výšky pokuty vzhľadom na hodnotu a význam zabezpečovanej povinnosti a rozpor s dobrými mravmi. Súd zohľadnil aj skutočnosť, že žalovaný nepreukázal vznik škody a že žalobca bol v omeškaní aj kvôli naviac prácam požadovaným žalovaným.</t>
        </is>
      </c>
      <c r="G83" s="19" t="n"/>
    </row>
    <row r="84" ht="76" customHeight="1">
      <c r="A84" s="17" t="inlineStr">
        <is>
          <t>GPT-4o Full</t>
        </is>
      </c>
      <c r="B84" s="18" t="inlineStr">
        <is>
          <t>Súd prvej inštancie znížil zmluvnú pokutu z pôvodne uplatnenej sumy 748.527,26 Eur na 69.935,40 Eur. Pri rozhodovaní zohľadnil, že žalovaný nepreukázal výšku škody spôsobenej omeškaním a že žalobca bol v omeškaní s odovzdaním diela. Súd tiež zohľadnil, že žalovaný objednával naviac práce, ktoré ovplyvnili termín odovzdania diela.</t>
        </is>
      </c>
      <c r="G84" s="19" t="n"/>
    </row>
    <row r="85" ht="93" customHeight="1">
      <c r="A85" s="17" t="inlineStr">
        <is>
          <t>Gemini RAG</t>
        </is>
      </c>
      <c r="B85" s="18" t="inlineStr">
        <is>
          <t>Súd prvej inštancie znížil neprimerane vysokú zmluvnú pokutu podľa § 301 Obchodného zákonníka z pôvodne uplatňovanej sumy 139.870,80 Eur na 69.935,40 Eur. Pri moderácii súd zohľadnil hodnotu a význam zabezpečovanej povinnosti, správanie veriteľa (žalovaného), ktorý nešpecifikoval výšku škody, neavizoval uplatnenie pokuty a sám meškal s vybavením stavebného povolenia a objednával naviac práce. Súd tiež považoval duplicitné uplatňovanie rovnakej výšky zmluvnej pokuty za rozporné s dobrými mravmi a poctivým obchodným stykom.</t>
        </is>
      </c>
      <c r="G85" s="19" t="n"/>
    </row>
    <row r="86" ht="93" customHeight="1">
      <c r="A86" s="17" t="inlineStr">
        <is>
          <t>Gemini Full</t>
        </is>
      </c>
      <c r="B86" s="18" t="inlineStr">
        <is>
          <t>Súd prvej inštancie znížil zmluvnú pokutu z pôvodne uplatňovanej sumy 748.527,26 Eur na 69.935,40 Eur, ktorú žalovaný sám pôvodne považoval za postačujúcu. Pri moderácii súd zohľadnil, že žalovaný nešpecifikoval výšku škody, ktorú mu oneskorené odovzdanie diela spôsobilo, a tiež to, že žalovaný sám objednával naviac práce a meškal so stavebným povolením, čo ovplyvnilo termín dokončenia diela. Súd tiež považoval duplicitné uplatňovanie zmluvnej pokuty za rovnaké obdobie za rozporné s dobrými mravmi.</t>
        </is>
      </c>
      <c r="G86" s="19" t="n"/>
    </row>
    <row r="87" ht="127" customHeight="1">
      <c r="A87" s="17" t="inlineStr">
        <is>
          <t>Qwen 3.5 RAG</t>
        </is>
      </c>
      <c r="B87" s="18" t="inlineStr">
        <is>
          <t>Súd prvej inštancie aplikoval moderačné právo podľa § 301 Obchodného zákonníka, keďže považoval pôvodne uplatnenú sumu 139.870,80 EUR za neprimerane vysokú vzhľadom na to, že žalovaný nepreukázal vzniknutú škodu a duplicitne uplatňoval tú istú pokutu vo viacerých konaniach, čo bolo v rozpore s dobrými mravmi. Súd znížil pokutu na sumu 69.935,40 EUR, ktorú považoval za postačujúcu, pričom zohľadnil aj skutočnosť, že žalovaný objednával naviac práce po lehote splatnosti a oneskoril vybavenie stavebného povolenia, čo ovplyvnilo termín odovzdania diela. Odvolací súd toto rozhodnutie potvrdil, keďže žalovaný vo svojom odvolaní nenapadol dôvody moderácie, ale iba trval na pôvodnej vyššej sume.</t>
        </is>
      </c>
      <c r="G87" s="19" t="n"/>
    </row>
    <row r="88" ht="93" customHeight="1">
      <c r="A88" s="17" t="inlineStr">
        <is>
          <t>Qwen 3.5 Full</t>
        </is>
      </c>
      <c r="B88" s="18" t="inlineStr">
        <is>
          <t>Súd konštatoval, že hoci by pôvodná zmluvná pokuta za 137 dní omeškania predstavovala sumu 748.527,26 EUR, jej uplatnenie v plnej výške by bolo neprimerané. Pri moderácii podľa § 301 Obchodného zákonníka súd prihliadal na to, že žalovaný si nárok nešpecifikoval presným výpočtom, nepreukázal vzniknutú škodu a sám svojím konaním (objednávanie viacprác po lehote, meškanie so stavebným povolením) prispel k omeškaniu. Súd tiež považoval duplicitné uplatňovanie tej istej sumy pokuty vo viacerých konaniach za rozporné s dobrými mravmi.</t>
        </is>
      </c>
      <c r="G88" s="19" t="n"/>
    </row>
    <row r="90" ht="22" customHeight="1">
      <c r="A90" s="13" t="inlineStr">
        <is>
          <t>═══ SEKCIA 5 — FAKTORY PRIMERANOSTI PODĽA § 301 OBCHZ ═══</t>
        </is>
      </c>
    </row>
    <row r="91" ht="88" customHeight="1">
      <c r="A91"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92" ht="22" customHeight="1">
      <c r="A92" s="16" t="inlineStr">
        <is>
          <t>Pole / Otázka</t>
        </is>
      </c>
      <c r="B92" s="16" t="inlineStr">
        <is>
          <t>GPT-4o RAG</t>
        </is>
      </c>
      <c r="C92" s="16" t="inlineStr">
        <is>
          <t>GPT-4o Full</t>
        </is>
      </c>
      <c r="D92" s="16" t="inlineStr">
        <is>
          <t>Gemini RAG</t>
        </is>
      </c>
      <c r="E92" s="16" t="inlineStr">
        <is>
          <t>Gemini Full</t>
        </is>
      </c>
      <c r="F92" s="16" t="inlineStr">
        <is>
          <t>Qwen 3.5 RAG</t>
        </is>
      </c>
      <c r="G92" s="16" t="inlineStr">
        <is>
          <t>Qwen 3.5 Full</t>
        </is>
      </c>
    </row>
    <row r="93" ht="90" customHeight="1">
      <c r="A93"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93" s="18" t="inlineStr">
        <is>
          <t>negatívny</t>
        </is>
      </c>
      <c r="C93" s="18" t="inlineStr">
        <is>
          <t>negatívny</t>
        </is>
      </c>
      <c r="D93" s="18" t="inlineStr">
        <is>
          <t>negatívny</t>
        </is>
      </c>
      <c r="E93" s="18" t="inlineStr">
        <is>
          <t>negatívny</t>
        </is>
      </c>
      <c r="F93" s="18" t="inlineStr">
        <is>
          <t>negatívny</t>
        </is>
      </c>
      <c r="G93" s="18" t="inlineStr">
        <is>
          <t>negatívny</t>
        </is>
      </c>
    </row>
    <row r="94" ht="36" customHeight="1">
      <c r="A94" s="21" t="inlineStr">
        <is>
          <t>5.1 Posúdil systém faktor „Dobré mravy" rovnako ako súd?</t>
        </is>
      </c>
      <c r="B94" s="22" t="n"/>
      <c r="C94" s="23">
        <f>IF(B94="","",B94)</f>
        <v/>
      </c>
      <c r="D94" s="23">
        <f>IF(B94="","",B94)</f>
        <v/>
      </c>
      <c r="E94" s="23">
        <f>IF(B94="","",B94)</f>
        <v/>
      </c>
      <c r="F94" s="23">
        <f>IF(B94="","",B94)</f>
        <v/>
      </c>
      <c r="G94" s="23">
        <f>IF(B94="","",B94)</f>
        <v/>
      </c>
    </row>
    <row r="95" ht="90" customHeight="1">
      <c r="A95"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95" s="18" t="inlineStr">
        <is>
          <t>neutrálny</t>
        </is>
      </c>
      <c r="C95" s="18" t="inlineStr">
        <is>
          <t>pozitívny</t>
        </is>
      </c>
      <c r="D95" s="18" t="inlineStr">
        <is>
          <t>pozitívny</t>
        </is>
      </c>
      <c r="E95" s="18" t="inlineStr">
        <is>
          <t>pozitívny</t>
        </is>
      </c>
      <c r="F95" s="18" t="inlineStr">
        <is>
          <t>neutrálny</t>
        </is>
      </c>
      <c r="G95" s="18" t="inlineStr">
        <is>
          <t>neutrálny</t>
        </is>
      </c>
    </row>
    <row r="96" ht="36" customHeight="1">
      <c r="A96" s="21" t="inlineStr">
        <is>
          <t>5.2 Posúdil systém faktor „Zabezpečovacia funkcia" rovnako ako súd?</t>
        </is>
      </c>
      <c r="B96" s="22" t="n"/>
      <c r="C96" s="22" t="n"/>
      <c r="D96" s="23">
        <f>IF(C96="","",C96)</f>
        <v/>
      </c>
      <c r="E96" s="23">
        <f>IF(C96="","",C96)</f>
        <v/>
      </c>
      <c r="F96" s="23">
        <f>IF(B96="","",B96)</f>
        <v/>
      </c>
      <c r="G96" s="23">
        <f>IF(B96="","",B96)</f>
        <v/>
      </c>
    </row>
    <row r="97" ht="90" customHeight="1">
      <c r="A97"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97" s="18" t="inlineStr">
        <is>
          <t>negatívny</t>
        </is>
      </c>
      <c r="C97" s="18" t="inlineStr">
        <is>
          <t>negatívny</t>
        </is>
      </c>
      <c r="D97" s="18" t="inlineStr">
        <is>
          <t>negatívny</t>
        </is>
      </c>
      <c r="E97" s="18" t="inlineStr">
        <is>
          <t>negatívny</t>
        </is>
      </c>
      <c r="F97" s="18" t="inlineStr">
        <is>
          <t>negatívny</t>
        </is>
      </c>
      <c r="G97" s="18" t="inlineStr">
        <is>
          <t>negatívny</t>
        </is>
      </c>
    </row>
    <row r="98" ht="36" customHeight="1">
      <c r="A98" s="21" t="inlineStr">
        <is>
          <t>5.3 Posúdil systém faktor „Výška škody" rovnako ako súd?</t>
        </is>
      </c>
      <c r="B98" s="22" t="n"/>
      <c r="C98" s="23">
        <f>IF(B98="","",B98)</f>
        <v/>
      </c>
      <c r="D98" s="23">
        <f>IF(B98="","",B98)</f>
        <v/>
      </c>
      <c r="E98" s="23">
        <f>IF(B98="","",B98)</f>
        <v/>
      </c>
      <c r="F98" s="23">
        <f>IF(B98="","",B98)</f>
        <v/>
      </c>
      <c r="G98" s="23">
        <f>IF(B98="","",B98)</f>
        <v/>
      </c>
    </row>
    <row r="99" ht="90" customHeight="1">
      <c r="A99"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99" s="18" t="inlineStr">
        <is>
          <t>negatívny</t>
        </is>
      </c>
      <c r="C99" s="18" t="inlineStr">
        <is>
          <t>negatívny</t>
        </is>
      </c>
      <c r="D99" s="18" t="inlineStr">
        <is>
          <t>negatívny</t>
        </is>
      </c>
      <c r="E99" s="18" t="inlineStr">
        <is>
          <t>negatívny</t>
        </is>
      </c>
      <c r="F99" s="18" t="inlineStr">
        <is>
          <t>negatívny</t>
        </is>
      </c>
      <c r="G99" s="18" t="inlineStr">
        <is>
          <t>pozitívny</t>
        </is>
      </c>
    </row>
    <row r="100" ht="36" customHeight="1">
      <c r="A100" s="21" t="inlineStr">
        <is>
          <t>5.4 Posúdil systém faktor „Pomer k istine" rovnako ako súd?</t>
        </is>
      </c>
      <c r="B100" s="22" t="n"/>
      <c r="C100" s="23">
        <f>IF(B100="","",B100)</f>
        <v/>
      </c>
      <c r="D100" s="23">
        <f>IF(B100="","",B100)</f>
        <v/>
      </c>
      <c r="E100" s="23">
        <f>IF(B100="","",B100)</f>
        <v/>
      </c>
      <c r="F100" s="23">
        <f>IF(B100="","",B100)</f>
        <v/>
      </c>
      <c r="G100" s="22" t="n"/>
    </row>
    <row r="101" ht="106" customHeight="1">
      <c r="A101"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101" s="18" t="inlineStr">
        <is>
          <t>neutrálny</t>
        </is>
      </c>
      <c r="C101" s="18" t="inlineStr">
        <is>
          <t>neutrálny</t>
        </is>
      </c>
      <c r="D101" s="18" t="inlineStr">
        <is>
          <t>negatívny</t>
        </is>
      </c>
      <c r="E101" s="18" t="inlineStr">
        <is>
          <t>neutrálny</t>
        </is>
      </c>
      <c r="F101" s="18" t="inlineStr">
        <is>
          <t>pozitívny</t>
        </is>
      </c>
      <c r="G101" s="18" t="inlineStr">
        <is>
          <t>negatívny</t>
        </is>
      </c>
    </row>
    <row r="102" ht="36" customHeight="1">
      <c r="A102" s="21" t="inlineStr">
        <is>
          <t>5.5 Posúdil systém faktor „Správanie dlžníka" rovnako ako súd?</t>
        </is>
      </c>
      <c r="B102" s="22" t="n"/>
      <c r="C102" s="23">
        <f>IF(B102="","",B102)</f>
        <v/>
      </c>
      <c r="D102" s="22" t="n"/>
      <c r="E102" s="23">
        <f>IF(B102="","",B102)</f>
        <v/>
      </c>
      <c r="F102" s="22" t="n"/>
      <c r="G102" s="23">
        <f>IF(D102="","",D102)</f>
        <v/>
      </c>
    </row>
    <row r="103" ht="90" customHeight="1">
      <c r="A103"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103" s="18" t="inlineStr">
        <is>
          <t>nespomínané</t>
        </is>
      </c>
      <c r="C103" s="18" t="inlineStr">
        <is>
          <t>nespomínané</t>
        </is>
      </c>
      <c r="D103" s="18" t="inlineStr">
        <is>
          <t>nespomínané</t>
        </is>
      </c>
      <c r="E103" s="18" t="inlineStr">
        <is>
          <t>nespomínané</t>
        </is>
      </c>
      <c r="F103" s="18" t="inlineStr">
        <is>
          <t>nespomínané</t>
        </is>
      </c>
      <c r="G103" s="18" t="inlineStr">
        <is>
          <t>nespomínané</t>
        </is>
      </c>
    </row>
    <row r="104" ht="36" customHeight="1">
      <c r="A104" s="21" t="inlineStr">
        <is>
          <t>5.6 Posúdil systém faktor „Kumulácia s úrokom" rovnako ako súd?</t>
        </is>
      </c>
      <c r="B104" s="22" t="n"/>
      <c r="C104" s="23">
        <f>IF(B104="","",B104)</f>
        <v/>
      </c>
      <c r="D104" s="23">
        <f>IF(B104="","",B104)</f>
        <v/>
      </c>
      <c r="E104" s="23">
        <f>IF(B104="","",B104)</f>
        <v/>
      </c>
      <c r="F104" s="23">
        <f>IF(B104="","",B104)</f>
        <v/>
      </c>
      <c r="G104" s="23">
        <f>IF(B104="","",B104)</f>
        <v/>
      </c>
    </row>
    <row r="105" ht="90" customHeight="1">
      <c r="A105"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105" s="18" t="inlineStr">
        <is>
          <t>negatívny</t>
        </is>
      </c>
      <c r="C105" s="18" t="inlineStr">
        <is>
          <t>negatívny</t>
        </is>
      </c>
      <c r="D105" s="18" t="inlineStr">
        <is>
          <t>negatívny</t>
        </is>
      </c>
      <c r="E105" s="18" t="inlineStr">
        <is>
          <t>negatívny</t>
        </is>
      </c>
      <c r="F105" s="18" t="inlineStr">
        <is>
          <t>negatívny</t>
        </is>
      </c>
      <c r="G105" s="18" t="inlineStr">
        <is>
          <t>negatívny</t>
        </is>
      </c>
    </row>
    <row r="106" ht="36" customHeight="1">
      <c r="A106" s="21" t="inlineStr">
        <is>
          <t>5.7 Posúdil systém faktor „Správanie veriteľa" rovnako ako súd?</t>
        </is>
      </c>
      <c r="B106" s="22" t="n"/>
      <c r="C106" s="23">
        <f>IF(B106="","",B106)</f>
        <v/>
      </c>
      <c r="D106" s="23">
        <f>IF(B106="","",B106)</f>
        <v/>
      </c>
      <c r="E106" s="23">
        <f>IF(B106="","",B106)</f>
        <v/>
      </c>
      <c r="F106" s="23">
        <f>IF(B106="","",B106)</f>
        <v/>
      </c>
      <c r="G106" s="23">
        <f>IF(B106="","",B106)</f>
        <v/>
      </c>
    </row>
    <row r="108" ht="22" customHeight="1">
      <c r="A108" s="13" t="inlineStr">
        <is>
          <t>═══ SEKCIA 6 — HALUCINÁCIE A CELKOVÝ DOJEM ═══</t>
        </is>
      </c>
    </row>
    <row r="109" ht="56" customHeight="1">
      <c r="A109"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110" ht="22" customHeight="1">
      <c r="A110" s="16" t="inlineStr">
        <is>
          <t>Pole / Otázka</t>
        </is>
      </c>
      <c r="B110" s="16" t="inlineStr">
        <is>
          <t>GPT-4o RAG</t>
        </is>
      </c>
      <c r="C110" s="16" t="inlineStr">
        <is>
          <t>GPT-4o Full</t>
        </is>
      </c>
      <c r="D110" s="16" t="inlineStr">
        <is>
          <t>Gemini RAG</t>
        </is>
      </c>
      <c r="E110" s="16" t="inlineStr">
        <is>
          <t>Gemini Full</t>
        </is>
      </c>
      <c r="F110" s="16" t="inlineStr">
        <is>
          <t>Qwen 3.5 RAG</t>
        </is>
      </c>
      <c r="G110" s="16" t="inlineStr">
        <is>
          <t>Qwen 3.5 Full</t>
        </is>
      </c>
    </row>
    <row r="111" ht="36" customHeight="1">
      <c r="A111" s="21" t="inlineStr">
        <is>
          <t>6.1 Halucinácie  (1 = veľa vymyslených, 10 = žiadne)</t>
        </is>
      </c>
      <c r="B111" s="22" t="n"/>
      <c r="C111" s="22" t="n"/>
      <c r="D111" s="22" t="n"/>
      <c r="E111" s="22" t="n"/>
      <c r="F111" s="22" t="n"/>
      <c r="G111" s="22" t="n"/>
    </row>
    <row r="112" ht="36" customHeight="1">
      <c r="A112" s="21" t="inlineStr">
        <is>
          <t>6.2 Celkový dojem  (1 = nepoužiteľné, 10 = vysoko spoľahlivé)</t>
        </is>
      </c>
      <c r="B112" s="22" t="n"/>
      <c r="C112" s="22" t="n"/>
      <c r="D112" s="22" t="n"/>
      <c r="E112" s="22" t="n"/>
      <c r="F112" s="22" t="n"/>
      <c r="G112" s="22" t="n"/>
    </row>
    <row r="114" ht="22" customHeight="1">
      <c r="A114" s="13" t="inlineStr">
        <is>
          <t>═══ SEKCIA 7 — CELKOVÉ PORADIE SYSTÉMOV ═══</t>
        </is>
      </c>
    </row>
    <row r="115" ht="40" customHeight="1">
      <c r="A115" s="14" t="inlineStr">
        <is>
          <t>Zoraďte 6 systémov od najlepšieho (1) po najhorší (6). Berte do úvahy všetky predchádzajúce hodnotenia — presnosť, halucinácie, kvalitu textu, aj celkovú praktickú použiteľnosť. Každý systém dostane iné číslo 1-6.</t>
        </is>
      </c>
    </row>
    <row r="116" ht="22" customHeight="1">
      <c r="A116" s="16" t="inlineStr">
        <is>
          <t>Pole / Otázka</t>
        </is>
      </c>
      <c r="B116" s="16" t="inlineStr">
        <is>
          <t>GPT-4o RAG</t>
        </is>
      </c>
      <c r="C116" s="16" t="inlineStr">
        <is>
          <t>GPT-4o Full</t>
        </is>
      </c>
      <c r="D116" s="16" t="inlineStr">
        <is>
          <t>Gemini RAG</t>
        </is>
      </c>
      <c r="E116" s="16" t="inlineStr">
        <is>
          <t>Gemini Full</t>
        </is>
      </c>
      <c r="F116" s="16" t="inlineStr">
        <is>
          <t>Qwen 3.5 RAG</t>
        </is>
      </c>
      <c r="G116" s="16" t="inlineStr">
        <is>
          <t>Qwen 3.5 Full</t>
        </is>
      </c>
    </row>
    <row r="117" ht="30" customHeight="1">
      <c r="A117" s="21" t="inlineStr">
        <is>
          <t>PORADIE — priraďte 1-6 (1 = najlepší)</t>
        </is>
      </c>
      <c r="B117" s="24" t="n"/>
      <c r="C117" s="24" t="n"/>
      <c r="D117" s="24" t="n"/>
      <c r="E117" s="24" t="n"/>
      <c r="F117" s="24" t="n"/>
      <c r="G117" s="24" t="n"/>
    </row>
    <row r="119" ht="22" customHeight="1">
      <c r="A119" s="25" t="inlineStr">
        <is>
          <t>KOMENTÁR — Čo vám na extrakciách najviac prekážalo? (voliteľné)</t>
        </is>
      </c>
    </row>
    <row r="120" ht="35" customHeight="1">
      <c r="A120" s="26" t="n"/>
    </row>
    <row r="121" ht="35" customHeight="1"/>
    <row r="122" ht="35" customHeight="1"/>
    <row r="124" ht="22" customHeight="1">
      <c r="A124" s="25" t="inlineStr">
        <is>
          <t>KOMENTÁR — Čo bolo naopak najlepšie? (voliteľné)</t>
        </is>
      </c>
    </row>
    <row r="125" ht="35" customHeight="1">
      <c r="A125" s="26" t="n"/>
    </row>
    <row r="126" ht="35" customHeight="1"/>
    <row r="127" ht="35" customHeight="1"/>
    <row r="129" ht="24" customHeight="1">
      <c r="A129" s="27" t="inlineStr">
        <is>
          <t>ĎAKUJEM za váš čas a odbornosť!</t>
        </is>
      </c>
    </row>
  </sheetData>
  <mergeCells count="56">
    <mergeCell ref="A32:G32"/>
    <mergeCell ref="A14:G14"/>
    <mergeCell ref="A125:G127"/>
    <mergeCell ref="A8:G8"/>
    <mergeCell ref="A22:G22"/>
    <mergeCell ref="B17:G17"/>
    <mergeCell ref="A91:G91"/>
    <mergeCell ref="A4:G4"/>
    <mergeCell ref="A109:G109"/>
    <mergeCell ref="A81:G81"/>
    <mergeCell ref="A10:G10"/>
    <mergeCell ref="A115:G115"/>
    <mergeCell ref="A13:G13"/>
    <mergeCell ref="B19:G19"/>
    <mergeCell ref="B39:F39"/>
    <mergeCell ref="B86:F86"/>
    <mergeCell ref="A31:G31"/>
    <mergeCell ref="A114:G114"/>
    <mergeCell ref="A24:G24"/>
    <mergeCell ref="A30:G30"/>
    <mergeCell ref="A73:G73"/>
    <mergeCell ref="A11:G11"/>
    <mergeCell ref="A49:G49"/>
    <mergeCell ref="B88:F88"/>
    <mergeCell ref="B82:F82"/>
    <mergeCell ref="B20:G20"/>
    <mergeCell ref="A119:G119"/>
    <mergeCell ref="A1:G1"/>
    <mergeCell ref="B87:F87"/>
    <mergeCell ref="B38:F38"/>
    <mergeCell ref="B34:F34"/>
    <mergeCell ref="A124:G124"/>
    <mergeCell ref="B35:F35"/>
    <mergeCell ref="B37:F37"/>
    <mergeCell ref="A16:G16"/>
    <mergeCell ref="A7:G7"/>
    <mergeCell ref="A25:G25"/>
    <mergeCell ref="A65:G65"/>
    <mergeCell ref="B84:F84"/>
    <mergeCell ref="A90:G90"/>
    <mergeCell ref="A108:G108"/>
    <mergeCell ref="B83:F83"/>
    <mergeCell ref="A66:G66"/>
    <mergeCell ref="A74:G74"/>
    <mergeCell ref="A27:G27"/>
    <mergeCell ref="B33:F33"/>
    <mergeCell ref="A50:G50"/>
    <mergeCell ref="A120:G122"/>
    <mergeCell ref="A26:G26"/>
    <mergeCell ref="A2:G2"/>
    <mergeCell ref="B18:G18"/>
    <mergeCell ref="B36:F36"/>
    <mergeCell ref="B85:F85"/>
    <mergeCell ref="A129:G129"/>
    <mergeCell ref="A5:G5"/>
    <mergeCell ref="A23:G23"/>
  </mergeCells>
  <conditionalFormatting sqref="G34">
    <cfRule type="expression" priority="1" dxfId="0">
      <formula>LEN(TRIM(G34))&gt;0</formula>
    </cfRule>
  </conditionalFormatting>
  <conditionalFormatting sqref="G35">
    <cfRule type="expression" priority="2" dxfId="0">
      <formula>LEN(TRIM(G35))&gt;0</formula>
    </cfRule>
  </conditionalFormatting>
  <conditionalFormatting sqref="G36">
    <cfRule type="expression" priority="3" dxfId="0">
      <formula>LEN(TRIM(G36))&gt;0</formula>
    </cfRule>
  </conditionalFormatting>
  <conditionalFormatting sqref="G37">
    <cfRule type="expression" priority="4" dxfId="0">
      <formula>LEN(TRIM(G37))&gt;0</formula>
    </cfRule>
  </conditionalFormatting>
  <conditionalFormatting sqref="G38">
    <cfRule type="expression" priority="5" dxfId="0">
      <formula>LEN(TRIM(G38))&gt;0</formula>
    </cfRule>
  </conditionalFormatting>
  <conditionalFormatting sqref="G39">
    <cfRule type="expression" priority="6" dxfId="0">
      <formula>LEN(TRIM(G39))&gt;0</formula>
    </cfRule>
  </conditionalFormatting>
  <conditionalFormatting sqref="B43:G43">
    <cfRule type="expression" priority="7" dxfId="0">
      <formula>LEN(TRIM(B43))&gt;0</formula>
    </cfRule>
  </conditionalFormatting>
  <conditionalFormatting sqref="B45:G45">
    <cfRule type="expression" priority="8" dxfId="0">
      <formula>LEN(TRIM(B45))&gt;0</formula>
    </cfRule>
  </conditionalFormatting>
  <conditionalFormatting sqref="B47:G47">
    <cfRule type="expression" priority="9" dxfId="0">
      <formula>LEN(TRIM(B47))&gt;0</formula>
    </cfRule>
  </conditionalFormatting>
  <conditionalFormatting sqref="B53:G53">
    <cfRule type="expression" priority="10" dxfId="0">
      <formula>LEN(TRIM(B53))&gt;0</formula>
    </cfRule>
  </conditionalFormatting>
  <conditionalFormatting sqref="B55:G55">
    <cfRule type="expression" priority="11" dxfId="0">
      <formula>LEN(TRIM(B55))&gt;0</formula>
    </cfRule>
  </conditionalFormatting>
  <conditionalFormatting sqref="B57:G57">
    <cfRule type="expression" priority="12" dxfId="0">
      <formula>LEN(TRIM(B57))&gt;0</formula>
    </cfRule>
  </conditionalFormatting>
  <conditionalFormatting sqref="B59:G59">
    <cfRule type="expression" priority="13" dxfId="0">
      <formula>LEN(TRIM(B59))&gt;0</formula>
    </cfRule>
  </conditionalFormatting>
  <conditionalFormatting sqref="B61:G61">
    <cfRule type="expression" priority="14" dxfId="0">
      <formula>LEN(TRIM(B61))&gt;0</formula>
    </cfRule>
  </conditionalFormatting>
  <conditionalFormatting sqref="B63:G63">
    <cfRule type="expression" priority="15" dxfId="0">
      <formula>LEN(TRIM(B63))&gt;0</formula>
    </cfRule>
  </conditionalFormatting>
  <conditionalFormatting sqref="B69:G69">
    <cfRule type="expression" priority="16" dxfId="0">
      <formula>LEN(TRIM(B69))&gt;0</formula>
    </cfRule>
  </conditionalFormatting>
  <conditionalFormatting sqref="B71:G71">
    <cfRule type="expression" priority="17" dxfId="0">
      <formula>LEN(TRIM(B71))&gt;0</formula>
    </cfRule>
  </conditionalFormatting>
  <conditionalFormatting sqref="B77:G77">
    <cfRule type="expression" priority="18" dxfId="0">
      <formula>LEN(TRIM(B77))&gt;0</formula>
    </cfRule>
  </conditionalFormatting>
  <conditionalFormatting sqref="B79:G79">
    <cfRule type="expression" priority="19" dxfId="0">
      <formula>LEN(TRIM(B79))&gt;0</formula>
    </cfRule>
  </conditionalFormatting>
  <conditionalFormatting sqref="G83">
    <cfRule type="expression" priority="20" dxfId="0">
      <formula>LEN(TRIM(G83))&gt;0</formula>
    </cfRule>
  </conditionalFormatting>
  <conditionalFormatting sqref="G84">
    <cfRule type="expression" priority="21" dxfId="0">
      <formula>LEN(TRIM(G84))&gt;0</formula>
    </cfRule>
  </conditionalFormatting>
  <conditionalFormatting sqref="G85">
    <cfRule type="expression" priority="22" dxfId="0">
      <formula>LEN(TRIM(G85))&gt;0</formula>
    </cfRule>
  </conditionalFormatting>
  <conditionalFormatting sqref="G86">
    <cfRule type="expression" priority="23" dxfId="0">
      <formula>LEN(TRIM(G86))&gt;0</formula>
    </cfRule>
  </conditionalFormatting>
  <conditionalFormatting sqref="G87">
    <cfRule type="expression" priority="24" dxfId="0">
      <formula>LEN(TRIM(G87))&gt;0</formula>
    </cfRule>
  </conditionalFormatting>
  <conditionalFormatting sqref="G88">
    <cfRule type="expression" priority="25" dxfId="0">
      <formula>LEN(TRIM(G88))&gt;0</formula>
    </cfRule>
  </conditionalFormatting>
  <conditionalFormatting sqref="B94:G94">
    <cfRule type="expression" priority="26" dxfId="0">
      <formula>LEN(TRIM(B94))&gt;0</formula>
    </cfRule>
  </conditionalFormatting>
  <conditionalFormatting sqref="B96:G96">
    <cfRule type="expression" priority="27" dxfId="0">
      <formula>LEN(TRIM(B96))&gt;0</formula>
    </cfRule>
  </conditionalFormatting>
  <conditionalFormatting sqref="B98:G98">
    <cfRule type="expression" priority="28" dxfId="0">
      <formula>LEN(TRIM(B98))&gt;0</formula>
    </cfRule>
  </conditionalFormatting>
  <conditionalFormatting sqref="B100:G100">
    <cfRule type="expression" priority="29" dxfId="0">
      <formula>LEN(TRIM(B100))&gt;0</formula>
    </cfRule>
  </conditionalFormatting>
  <conditionalFormatting sqref="B102:G102">
    <cfRule type="expression" priority="30" dxfId="0">
      <formula>LEN(TRIM(B102))&gt;0</formula>
    </cfRule>
  </conditionalFormatting>
  <conditionalFormatting sqref="B104:G104">
    <cfRule type="expression" priority="31" dxfId="0">
      <formula>LEN(TRIM(B104))&gt;0</formula>
    </cfRule>
  </conditionalFormatting>
  <conditionalFormatting sqref="B106:G106">
    <cfRule type="expression" priority="32" dxfId="0">
      <formula>LEN(TRIM(B106))&gt;0</formula>
    </cfRule>
  </conditionalFormatting>
  <conditionalFormatting sqref="B111:G111">
    <cfRule type="expression" priority="33" dxfId="0">
      <formula>LEN(TRIM(B111))&gt;0</formula>
    </cfRule>
  </conditionalFormatting>
  <conditionalFormatting sqref="B112:G112">
    <cfRule type="expression" priority="34" dxfId="0">
      <formula>LEN(TRIM(B112))&gt;0</formula>
    </cfRule>
  </conditionalFormatting>
  <conditionalFormatting sqref="B117:G117">
    <cfRule type="expression" priority="35" dxfId="0">
      <formula>LEN(TRIM(B117))&gt;0</formula>
    </cfRule>
  </conditionalFormatting>
  <dataValidations count="6">
    <dataValidation sqref="B43 B45 B47 B53 B55 B69 C43 C45 C47 C53 C55 C69 D43 D45 D47 D53 D55 D69 E43 E45 E47 E53 E55 E69 F43 F45 F47 F53 F55 F69 G43 G45 G47 G53 G55 G69" showDropDown="0" showInputMessage="0" showErrorMessage="0" allowBlank="1" type="list">
      <formula1>"áno,nie"</formula1>
    </dataValidation>
    <dataValidation sqref="B57 B77 C57 C77 D57 D77 E57 E77 F57 F77 G57 G77" showDropDown="0" showInputMessage="0" showErrorMessage="0" allowBlank="1" type="list">
      <formula1>"áno,čiastočne,nie"</formula1>
    </dataValidation>
    <dataValidation sqref="B59 B61 B63 B71 B79 C59 C61 C63 C71 C79 D59 D61 D63 D71 D79 E59 E61 E63 E71 E79 F59 F61 F63 F71 F79 G59 G61 G63 G71 G79" showDropDown="0" showInputMessage="0" showErrorMessage="0" allowBlank="1" type="list">
      <formula1>"áno,čiastočne,nie,N/A"</formula1>
    </dataValidation>
    <dataValidation sqref="B94 B96 B98 B100 B102 B104 B106 C94 C96 C98 C100 C102 C104 C106 D94 D96 D98 D100 D102 D104 D106 E94 E96 E98 E100 E102 E104 E106 F94 F96 F98 F100 F102 F104 F106 G94 G96 G98 G100 G102 G104 G106" showDropDown="0" showInputMessage="0" showErrorMessage="0" allowBlank="1" type="list">
      <formula1>"áno,čiastočne,nie,neviem"</formula1>
    </dataValidation>
    <dataValidation sqref="B111 B112 C111 C112 D111 D112 E111 E112 F111 F112 G34 G35 G36 G37 G38 G39 G83 G84 G85 G86 G87 G88 G111 G112" showDropDown="0" showInputMessage="0" showErrorMessage="0" allowBlank="1" errorTitle="Neplatná hodnota" error="Zadajte celé číslo od 1 do 10." type="whole" operator="between">
      <formula1>1</formula1>
      <formula2>10</formula2>
    </dataValidation>
    <dataValidation sqref="B117 C117 D117 E117 F117 G117" showDropDown="0" showInputMessage="0" showErrorMessage="0" allowBlank="1" errorTitle="Neplatné poradie" error="Zadajte poradie od 1 do 6 (bez opakovania)."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2026-05-08T22:16:47Z</dcterms:created>
  <dcterms:modified xsi:type="dcterms:W3CDTF">2026-05-08T22:16:47Z</dcterms:modified>
</cp:coreProperties>
</file>