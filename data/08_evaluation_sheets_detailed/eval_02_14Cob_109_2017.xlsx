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14Cob/109/2017</t>
        </is>
      </c>
    </row>
    <row r="2" ht="18" customHeight="1">
      <c r="A2" s="2" t="inlineStr">
        <is>
          <t>Dokument: KS_Žilina_14Cob_109_2017_00_dokument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REALITA - JAROŠČIAK, v.o.s. sa domáhal zaplatenia peňažnej pohľadávky vo výške 23.235,74 EUR s príslušenstvom od žalovaných. Predmetom sporu bola zmluvná pokuta a úroky z omeškania vyplývajúce z úverových zmlúv č. 3001 a č. 3002.</t>
        </is>
      </c>
      <c r="G34" s="19" t="n"/>
    </row>
    <row r="35" ht="76" customHeight="1">
      <c r="A35" s="17" t="inlineStr">
        <is>
          <t>GPT-4o Full</t>
        </is>
      </c>
      <c r="B35" s="18" t="inlineStr">
        <is>
          <t>Žalobca REALITA - JAROŠČIAK, v.o.s. požadoval zaplatenie peňažnej pohľadávky v sume 23.235,74 Eur s príslušenstvom, vrátane zmluvnej pokuty a úrokov z omeškania, od žalovaných, ktorí sú dedičmi po poručiteľovi. Žalobca tvrdil, že žalovaní sú povinní zaplatiť zmluvnú pokutu a úroky z omeškania za omeškanie s plnením dlhu, ktorý na nich prešiel po smrti poručiteľa.</t>
        </is>
      </c>
      <c r="G35" s="19" t="n"/>
    </row>
    <row r="36" ht="59" customHeight="1">
      <c r="A36" s="17" t="inlineStr">
        <is>
          <t>Gemini RAG</t>
        </is>
      </c>
      <c r="B36" s="18" t="inlineStr">
        <is>
          <t>Žalobca sa domáhal zaplatenia peňažnej pohľadávky vo výške 23.235,74 Eur s príslušenstvom, vrátane zmluvnej pokuty, ktorá bola dojednaná v zmluvách o úvere. Žalovaní namietali neprimeranosť zmluvnej pokuty a premlčanie nároku.</t>
        </is>
      </c>
      <c r="G36" s="19" t="n"/>
    </row>
    <row r="37" ht="59" customHeight="1">
      <c r="A37" s="17" t="inlineStr">
        <is>
          <t>Gemini Full</t>
        </is>
      </c>
      <c r="B37" s="18" t="inlineStr">
        <is>
          <t>Žalobca sa domáhal zaplatenia peňažnej pohľadávky vo výške 23 235,74 Eur s príslušenstvom, vrátane zmluvnej pokuty a úrokov z omeškania, na základe dvoch zmlúv o úvere. Žalovaní namietali neprimeranú výšku zmluvnej pokuty a úrokov, ako aj nesprávne započítanie platieb a premlčanie nároku.</t>
        </is>
      </c>
      <c r="G37" s="19" t="n"/>
    </row>
    <row r="38" ht="59" customHeight="1">
      <c r="A38" s="17" t="inlineStr">
        <is>
          <t>Qwen 3.5 RAG</t>
        </is>
      </c>
      <c r="B38" s="18" t="inlineStr">
        <is>
          <t>Žalobca sa domáhal zaplatenia peňažnej pohľadávky z úverových zmlúv vrátane úrokov z omeškania a zmluvnej pokuty. Spor sa týkal výšky priznanej pohľadávky, poradia započítania čiastočnej úhrady a primeranosti dojednanej zmluvnej pokuty, ktorú súd prvého stupňa znížil podľa § 301 Obchodného zákonníka.</t>
        </is>
      </c>
      <c r="G38" s="19" t="n"/>
    </row>
    <row r="39" ht="59" customHeight="1">
      <c r="A39" s="17" t="inlineStr">
        <is>
          <t>Qwen 3.5 Full</t>
        </is>
      </c>
      <c r="B39" s="18" t="inlineStr">
        <is>
          <t>Žalobca sa domáhal zaplatenia peňažnej pohľadávky z úverových zmlúv č. 3001 a 3002, vrátane istiny, úrokov z úveru, úrokov z omeškania a zmluvnej pokuty za omeškanie so splácaním. Žalovaní boli dedičmi pôvodného dlžníka a namietali výšku nárokov, primeranosť zmluvnej pokuty a viazanosť súdu hodnotou dedičstva.</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2 (zobrazená len pokuta č. 1)</t>
        </is>
      </c>
      <c r="D42" s="18" t="inlineStr">
        <is>
          <t>1</t>
        </is>
      </c>
      <c r="E42" s="18" t="inlineStr">
        <is>
          <t>2 (zobrazená len pokuta č. 1)</t>
        </is>
      </c>
      <c r="F42" s="18" t="inlineStr">
        <is>
          <t>1</t>
        </is>
      </c>
      <c r="G42" s="18" t="inlineStr">
        <is>
          <t>1</t>
        </is>
      </c>
    </row>
    <row r="43" ht="36" customHeight="1">
      <c r="A43" s="21" t="inlineStr">
        <is>
          <t>1.2 Je počet pokút správne identifikovaný?</t>
        </is>
      </c>
      <c r="B43" s="22" t="n"/>
      <c r="C43" s="22" t="n"/>
      <c r="D43" s="23">
        <f>IF(B43="","",B43)</f>
        <v/>
      </c>
      <c r="E43" s="23">
        <f>IF(C43="","",C43)</f>
        <v/>
      </c>
      <c r="F43" s="23">
        <f>IF(B43="","",B43)</f>
        <v/>
      </c>
      <c r="G43" s="23">
        <f>IF(B43="","",B43)</f>
        <v/>
      </c>
    </row>
    <row r="44" ht="26" customHeight="1">
      <c r="A44" s="20" t="inlineStr">
        <is>
          <t>TYP ZMLUVY — aká zmluva je predmetom sporu? (nájom, dielo, úver, kúpna, ...)</t>
        </is>
      </c>
      <c r="B44" s="18" t="inlineStr">
        <is>
          <t>Úver</t>
        </is>
      </c>
      <c r="C44" s="18" t="inlineStr">
        <is>
          <t>Úver</t>
        </is>
      </c>
      <c r="D44" s="18" t="inlineStr">
        <is>
          <t>Úver</t>
        </is>
      </c>
      <c r="E44" s="18" t="inlineStr">
        <is>
          <t>Úver</t>
        </is>
      </c>
      <c r="F44" s="18" t="inlineStr">
        <is>
          <t>Úver</t>
        </is>
      </c>
      <c r="G44" s="18" t="inlineStr">
        <is>
          <t>Úver</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B2C (podnikateľ-spotrebiteľ)</t>
        </is>
      </c>
      <c r="C46" s="18" t="inlineStr">
        <is>
          <t>B2C (podnikateľ-spotrebiteľ)</t>
        </is>
      </c>
      <c r="D46" s="18" t="inlineStr">
        <is>
          <t>B2B (podnikateľ-podnikateľ)</t>
        </is>
      </c>
      <c r="E46" s="18" t="inlineStr">
        <is>
          <t>B2B (podnikateľ-podnikateľ)</t>
        </is>
      </c>
      <c r="F46" s="18" t="inlineStr">
        <is>
          <t>B2B (podnikateľ-podnikateľ)</t>
        </is>
      </c>
      <c r="G46" s="18" t="inlineStr">
        <is>
          <t>B2C (podnikateľ-spotrebiteľ)</t>
        </is>
      </c>
    </row>
    <row r="47" ht="36" customHeight="1">
      <c r="A47" s="21" t="inlineStr">
        <is>
          <t>1.4 Je vzťah strán správne klasifikovaný?</t>
        </is>
      </c>
      <c r="B47" s="22" t="n"/>
      <c r="C47" s="23">
        <f>IF(B47="","",B47)</f>
        <v/>
      </c>
      <c r="D47" s="22" t="n"/>
      <c r="E47" s="23">
        <f>IF(D47="","",D47)</f>
        <v/>
      </c>
      <c r="F47" s="23">
        <f>IF(D47="","",D47)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Omeškanie platby</t>
        </is>
      </c>
      <c r="C52" s="18" t="inlineStr">
        <is>
          <t>Omeškanie platby</t>
        </is>
      </c>
      <c r="D52" s="18" t="inlineStr">
        <is>
          <t>Omeškanie platby</t>
        </is>
      </c>
      <c r="E52" s="18" t="inlineStr">
        <is>
          <t>Omeškanie platby</t>
        </is>
      </c>
      <c r="F52" s="18" t="inlineStr">
        <is>
          <t>Omeškanie platby</t>
        </is>
      </c>
      <c r="G52" s="18" t="inlineStr">
        <is>
          <t>Omeškanie platby</t>
        </is>
      </c>
    </row>
    <row r="53" ht="36" customHeight="1">
      <c r="A53" s="21" t="inlineStr">
        <is>
          <t>2.1 Je typ porušenia zmluvy správne identifikovaný?</t>
        </is>
      </c>
      <c r="B53" s="22" t="n"/>
      <c r="C53" s="23">
        <f>IF(B53="","",B53)</f>
        <v/>
      </c>
      <c r="D53" s="23">
        <f>IF(B53="","",B53)</f>
        <v/>
      </c>
      <c r="E53" s="23">
        <f>IF(B53="","",B53)</f>
        <v/>
      </c>
      <c r="F53" s="23">
        <f>IF(B53="","",B53)</f>
        <v/>
      </c>
      <c r="G53" s="23">
        <f>IF(B53="","",B53)</f>
        <v/>
      </c>
    </row>
    <row r="54" ht="26" customHeight="1">
      <c r="A54" s="20" t="inlineStr">
        <is>
          <t>TYP VÝPOČTU POKUTY — akou metódou sa pokuta počíta? (% denne, fixná suma, % jednorazovo, ...)</t>
        </is>
      </c>
      <c r="B54" s="18" t="inlineStr">
        <is>
          <t>% denne</t>
        </is>
      </c>
      <c r="C54" s="18" t="inlineStr">
        <is>
          <t>% denne</t>
        </is>
      </c>
      <c r="D54" s="18" t="inlineStr">
        <is>
          <t>% denne</t>
        </is>
      </c>
      <c r="E54" s="18" t="inlineStr">
        <is>
          <t>% denne</t>
        </is>
      </c>
      <c r="F54" s="18" t="inlineStr">
        <is>
          <t>% denne</t>
        </is>
      </c>
      <c r="G54" s="18" t="inlineStr">
        <is>
          <t>% denne</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0,2 % denne z dlžnej sumy</t>
        </is>
      </c>
      <c r="C56" s="18" t="inlineStr">
        <is>
          <t>0,2 % denne</t>
        </is>
      </c>
      <c r="D56" s="18" t="inlineStr">
        <is>
          <t>0,2 % denne</t>
        </is>
      </c>
      <c r="E56" s="18" t="inlineStr">
        <is>
          <t>0,2 % denne</t>
        </is>
      </c>
      <c r="F56" s="18" t="inlineStr">
        <is>
          <t>0,2 % denne</t>
        </is>
      </c>
      <c r="G56" s="18" t="inlineStr">
        <is>
          <t>0,2 % denne</t>
        </is>
      </c>
    </row>
    <row r="57" ht="36" customHeight="1">
      <c r="A57" s="21" t="inlineStr">
        <is>
          <t>2.3 Zodpovedá extrahovaný text skutočnej klauzule v zmluve?</t>
        </is>
      </c>
      <c r="B57" s="22" t="n"/>
      <c r="C57" s="22" t="n"/>
      <c r="D57" s="23">
        <f>IF(C57="","",C57)</f>
        <v/>
      </c>
      <c r="E57" s="23">
        <f>IF(C57="","",C57)</f>
        <v/>
      </c>
      <c r="F57" s="23">
        <f>IF(C57="","",C57)</f>
        <v/>
      </c>
      <c r="G57" s="23">
        <f>IF(C57="","",C57)</f>
        <v/>
      </c>
    </row>
    <row r="58" ht="26" customHeight="1">
      <c r="A58" s="20" t="inlineStr">
        <is>
          <t>ISTINA — suma, z ktorej sa pokuta počíta (napr. cena diela, dlžná suma, hodnota tovaru)</t>
        </is>
      </c>
      <c r="B58" s="18" t="inlineStr">
        <is>
          <t>581 165 SKK</t>
        </is>
      </c>
      <c r="C58" s="18" t="inlineStr">
        <is>
          <t>581 165 SKK</t>
        </is>
      </c>
      <c r="D58" s="18" t="inlineStr">
        <is>
          <t>581 165 SKK</t>
        </is>
      </c>
      <c r="E58" s="18" t="inlineStr">
        <is>
          <t>581 165 SKK</t>
        </is>
      </c>
      <c r="F58" s="18" t="inlineStr">
        <is>
          <t>581 165 SKK</t>
        </is>
      </c>
      <c r="G58" s="18" t="inlineStr">
        <is>
          <t>581 165 SKK</t>
        </is>
      </c>
    </row>
    <row r="59" ht="36" customHeight="1">
      <c r="A59" s="21" t="inlineStr">
        <is>
          <t>2.4 Je suma istiny presná?</t>
        </is>
      </c>
      <c r="B59" s="22" t="n"/>
      <c r="C59" s="23">
        <f>IF(B59="","",B59)</f>
        <v/>
      </c>
      <c r="D59" s="23">
        <f>IF(B59="","",B59)</f>
        <v/>
      </c>
      <c r="E59" s="23">
        <f>IF(B59="","",B59)</f>
        <v/>
      </c>
      <c r="F59" s="23">
        <f>IF(B59="","",B59)</f>
        <v/>
      </c>
      <c r="G59" s="23">
        <f>IF(B59="","",B59)</f>
        <v/>
      </c>
    </row>
    <row r="60" ht="26" customHeight="1">
      <c r="A60" s="20" t="inlineStr">
        <is>
          <t>ŽIADANÁ SUMA POKUTY — koľko žalobca od súdu pôvodne žiadal ako pokutu</t>
        </is>
      </c>
      <c r="B60" s="18" t="inlineStr">
        <is>
          <t>—</t>
        </is>
      </c>
      <c r="C60" s="18" t="inlineStr">
        <is>
          <t>146 162,99 SKK</t>
        </is>
      </c>
      <c r="D60" s="18" t="inlineStr">
        <is>
          <t>—</t>
        </is>
      </c>
      <c r="E60" s="18" t="inlineStr">
        <is>
          <t>—</t>
        </is>
      </c>
      <c r="F60" s="18" t="inlineStr">
        <is>
          <t>—</t>
        </is>
      </c>
      <c r="G60" s="18" t="inlineStr">
        <is>
          <t>—</t>
        </is>
      </c>
    </row>
    <row r="61" ht="36" customHeight="1">
      <c r="A61" s="21" t="inlineStr">
        <is>
          <t>2.5 Je žiadaná suma presná?</t>
        </is>
      </c>
      <c r="B61" s="22" t="n"/>
      <c r="C61" s="22" t="n"/>
      <c r="D61" s="22" t="n"/>
      <c r="E61" s="22" t="n"/>
      <c r="F61" s="22" t="n"/>
      <c r="G61" s="22" t="n"/>
    </row>
    <row r="62" ht="26" customHeight="1">
      <c r="A62" s="20" t="inlineStr">
        <is>
          <t>PRIZNANÁ SUMA POKUTY — koľko súd napokon priznal (po prípadnej moderácii podľa § 301)</t>
        </is>
      </c>
      <c r="B62" s="18" t="inlineStr">
        <is>
          <t>146 162,99 SKK</t>
        </is>
      </c>
      <c r="C62" s="18" t="inlineStr">
        <is>
          <t>—</t>
        </is>
      </c>
      <c r="D62" s="18" t="inlineStr">
        <is>
          <t>146 162,99 SKK</t>
        </is>
      </c>
      <c r="E62" s="18" t="inlineStr">
        <is>
          <t>146 162,99 SKK</t>
        </is>
      </c>
      <c r="F62" s="18" t="inlineStr">
        <is>
          <t>146 162,99 SKK</t>
        </is>
      </c>
      <c r="G62" s="18" t="inlineStr">
        <is>
          <t>146 162,99 SKK</t>
        </is>
      </c>
    </row>
    <row r="63" ht="36" customHeight="1">
      <c r="A63" s="21" t="inlineStr">
        <is>
          <t>2.6 Je priznaná suma presná?</t>
        </is>
      </c>
      <c r="B63" s="22" t="n"/>
      <c r="C63" s="22" t="n"/>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15 % ročne</t>
        </is>
      </c>
      <c r="C70" s="18" t="inlineStr">
        <is>
          <t>15 % ročne</t>
        </is>
      </c>
      <c r="D70" s="18" t="inlineStr">
        <is>
          <t>15 % ročne</t>
        </is>
      </c>
      <c r="E70" s="18" t="inlineStr">
        <is>
          <t>15 % ročne</t>
        </is>
      </c>
      <c r="F70" s="18" t="inlineStr">
        <is>
          <t>15 % ročne</t>
        </is>
      </c>
      <c r="G70" s="18" t="inlineStr">
        <is>
          <t>15 %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59" customHeight="1">
      <c r="A83" s="17" t="inlineStr">
        <is>
          <t>GPT-4o RAG</t>
        </is>
      </c>
      <c r="B83" s="18" t="inlineStr">
        <is>
          <t>Súd znížil zmluvnú pokutu z pôvodných 0,2 % denne na 0,05 % denne, čo predstavuje 18,25 % ročne. Dôvodom bolo, že pôvodná výška pokuty bola považovaná za neprimerane vysokú, najmä v kombinácii s úrokom z omeškania 15 % ročne. Súd zohľadnil aj postavenie žalobcu ako nebankovej inštitúcie a hospodársku situáciu dlžníka.</t>
        </is>
      </c>
      <c r="G83" s="19" t="n"/>
    </row>
    <row r="84" ht="93" customHeight="1">
      <c r="A84" s="17" t="inlineStr">
        <is>
          <t>GPT-4o Full</t>
        </is>
      </c>
      <c r="B84" s="18" t="inlineStr">
        <is>
          <t>Súd prvej inštancie znížil zmluvnú pokutu z pôvodne dohodnutej výšky 0,2 % denne na 0,05 % denne, čo predstavuje 18,25 % ročne. Súd zohľadnil, že žalobca nie je bankovou inštitúciou a že vysoká zmluvná pokuta by mohla viesť k neúmernému obohateniu veriteľa. Zároveň súd zohľadnil, že žalobca už kompenzoval riziko vysokou úrokovou mierou z úveru. Celkové zaťaženie žalovaného tak predstavuje 32,5 % ročne, čo súd považoval za dostatočné pokrytie nárokov žalobcu.</t>
        </is>
      </c>
      <c r="G84" s="19" t="n"/>
    </row>
    <row r="85" ht="110" customHeight="1">
      <c r="A85" s="17" t="inlineStr">
        <is>
          <t>Gemini RAG</t>
        </is>
      </c>
      <c r="B85" s="18" t="inlineStr">
        <is>
          <t>Súd prvej inštancie znížil zmluvnú pokutu z 0,2 % denne (73 % ročne) na 0,05 % denne (18,25 % ročne) s odôvodnením, že pôvodná výška je neprimeraná a vedie k neúmernému obohateniu veriteľa a poškodeniu dlžníka. Súd zohľadnil, že žalobca nie je bankovou inštitúciou, ale zároveň už kompenzoval riziko vysokou úrokovou mierou z úveru (60 % a 39 % ročne). Kumulácia zmluvnej pokuty s úrokom z omeškania (15 % ročne) by predstavovala celkové zaťaženie 88 % ročne, čo súd považoval za neprimerané. Súd tiež uviedol, že vznik škody nie je podmienkou moderácie, ale len limituje spodnú hranicu zníženia.</t>
        </is>
      </c>
      <c r="G85" s="19" t="n"/>
    </row>
    <row r="86" ht="93" customHeight="1">
      <c r="A86" s="17" t="inlineStr">
        <is>
          <t>Gemini Full</t>
        </is>
      </c>
      <c r="B86" s="18" t="inlineStr">
        <is>
          <t>Súd prvej inštancie moderoval zmluvnú pokutu z 0,2 % denne (73 % ročne) na 0,05 % denne (18,25 % ročne) na základe návrhu žalovaných. Zohľadnil, že žalobca nie je banková inštitúcia, ale zároveň už kompenzoval riziko vysokou úrokovou mierou (60 % a 39 % ročne). Kumulácia zmluvnej pokuty s úrokom z omeškania (15 % ročne) by viedla k neprimeranému zaťaženiu žalovaných a bezdôvodnému obohateniu žalobcu. Súd dospel k záveru, že celkové zaťaženie 32,5 % ročne (18,25 % pokuta + 15 % úrok z omeškania) je dostatočné.</t>
        </is>
      </c>
      <c r="G86" s="19" t="n"/>
    </row>
    <row r="87" ht="110" customHeight="1">
      <c r="A87" s="17" t="inlineStr">
        <is>
          <t>Qwen 3.5 RAG</t>
        </is>
      </c>
      <c r="B87" s="18" t="inlineStr">
        <is>
          <t>Súd znížil zmluvnú pokutu z pôvodných 0,2 % denne (73 % ročne) na 0,05 % denne (18,25 % ročne) podľa § 301 Obchodného zákonníka, keďže pôvodná výška bola neprimerane vysoká. Kľúčovým argumentom bola kumulácia vysokej zmluvnej pokuty so zákonným úrokom z omeškania (15 % ročne), čo by spolu predstavovalo 88 % ročne a viedlo k bezdôvodnému obohateniu veriteľa. Súd tiež prihliadal na to, že riziko neuhradenia dlhu bolo už kompenzované vysokým úrokom z úveru (39 % a 60 % ročne), takže ďalšia vysoká sankcia nebola opodstatnená významom zabezpečovanej povinnosti.</t>
        </is>
      </c>
      <c r="G87" s="19" t="n"/>
    </row>
    <row r="88" ht="110" customHeight="1">
      <c r="A88" s="17" t="inlineStr">
        <is>
          <t>Qwen 3.5 Full</t>
        </is>
      </c>
      <c r="B88" s="18" t="inlineStr">
        <is>
          <t>Súd prvej inštancie aplikoval moderačné právo podľa § 301 Obchodného zákonníka, keďže dohodnutá sadzba 0,2 % denne (73 % ročne) bola považovaná za neprimerane vysokú. Súd zohľadnil, že žalobca už bol kompenzovaný vysokým úrokom z úveru a nárokom na zákonný úrok z omeškania 15 % ročne, čo spolu s pôvodnou pokutou vytváralo zaťaženie 88 % ročne. Súd znížil pokutu na 0,05 % denne (18,25 % ročne), aby celkové zaťaženie (pokuta + úrok z omeškania) predstavovalo 32,5 % ročne, čo považoval za dostatočné na pokrytie nárokov veriteľa bez neúmerného obohatenia.</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negatívny</t>
        </is>
      </c>
      <c r="C93" s="18" t="inlineStr">
        <is>
          <t>negatívny</t>
        </is>
      </c>
      <c r="D93" s="18" t="inlineStr">
        <is>
          <t>negatívny</t>
        </is>
      </c>
      <c r="E93" s="18" t="inlineStr">
        <is>
          <t>negatívny</t>
        </is>
      </c>
      <c r="F93" s="18" t="inlineStr">
        <is>
          <t>neutrálny</t>
        </is>
      </c>
      <c r="G93" s="18" t="inlineStr">
        <is>
          <t>nespomínané</t>
        </is>
      </c>
    </row>
    <row r="94" ht="36" customHeight="1">
      <c r="A94" s="21" t="inlineStr">
        <is>
          <t>5.1 Posúdil systém faktor „Dobré mravy" rovnako ako súd?</t>
        </is>
      </c>
      <c r="B94" s="22" t="n"/>
      <c r="C94" s="23">
        <f>IF(B94="","",B94)</f>
        <v/>
      </c>
      <c r="D94" s="23">
        <f>IF(B94="","",B94)</f>
        <v/>
      </c>
      <c r="E94" s="23">
        <f>IF(B94="","",B94)</f>
        <v/>
      </c>
      <c r="F94" s="22" t="n"/>
      <c r="G94" s="22" t="n"/>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negatívny</t>
        </is>
      </c>
      <c r="E95" s="18" t="inlineStr">
        <is>
          <t>pozitívny</t>
        </is>
      </c>
      <c r="F95" s="18" t="inlineStr">
        <is>
          <t>negatívny</t>
        </is>
      </c>
      <c r="G95" s="18" t="inlineStr">
        <is>
          <t>pozitívny</t>
        </is>
      </c>
    </row>
    <row r="96" ht="36" customHeight="1">
      <c r="A96" s="21" t="inlineStr">
        <is>
          <t>5.2 Posúdil systém faktor „Zabezpečovacia funkcia" rovnako ako súd?</t>
        </is>
      </c>
      <c r="B96" s="22" t="n"/>
      <c r="C96" s="23">
        <f>IF(B96="","",B96)</f>
        <v/>
      </c>
      <c r="D96" s="22" t="n"/>
      <c r="E96" s="23">
        <f>IF(B96="","",B96)</f>
        <v/>
      </c>
      <c r="F96" s="23">
        <f>IF(D96="","",D96)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neutrálny</t>
        </is>
      </c>
      <c r="D97" s="18" t="inlineStr">
        <is>
          <t>neutrálny</t>
        </is>
      </c>
      <c r="E97" s="18" t="inlineStr">
        <is>
          <t>neutrálny</t>
        </is>
      </c>
      <c r="F97" s="18" t="inlineStr">
        <is>
          <t>neutrálny</t>
        </is>
      </c>
      <c r="G97" s="18" t="inlineStr">
        <is>
          <t>neutrálny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negatívny</t>
        </is>
      </c>
      <c r="C99" s="18" t="inlineStr">
        <is>
          <t>negatívny</t>
        </is>
      </c>
      <c r="D99" s="18" t="inlineStr">
        <is>
          <t>nespomínané</t>
        </is>
      </c>
      <c r="E99" s="18" t="inlineStr">
        <is>
          <t>negatívny</t>
        </is>
      </c>
      <c r="F99" s="18" t="inlineStr">
        <is>
          <t>nespomínané</t>
        </is>
      </c>
      <c r="G99" s="18" t="inlineStr">
        <is>
          <t>pozitívny</t>
        </is>
      </c>
    </row>
    <row r="100" ht="36" customHeight="1">
      <c r="A100" s="21" t="inlineStr">
        <is>
          <t>5.4 Posúdil systém faktor „Pomer k istine" rovnako ako súd?</t>
        </is>
      </c>
      <c r="B100" s="22" t="n"/>
      <c r="C100" s="23">
        <f>IF(B100="","",B100)</f>
        <v/>
      </c>
      <c r="D100" s="22" t="n"/>
      <c r="E100" s="23">
        <f>IF(B100="","",B100)</f>
        <v/>
      </c>
      <c r="F100" s="23">
        <f>IF(D100="","",D100)</f>
        <v/>
      </c>
      <c r="G100" s="22" t="n"/>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nespomínané</t>
        </is>
      </c>
      <c r="C101" s="18" t="inlineStr">
        <is>
          <t>neutrálny</t>
        </is>
      </c>
      <c r="D101" s="18" t="inlineStr">
        <is>
          <t>neutrálny</t>
        </is>
      </c>
      <c r="E101" s="18" t="inlineStr">
        <is>
          <t>nespomínané</t>
        </is>
      </c>
      <c r="F101" s="18" t="inlineStr">
        <is>
          <t>nespomínané</t>
        </is>
      </c>
      <c r="G101" s="18" t="inlineStr">
        <is>
          <t>nespomínané</t>
        </is>
      </c>
    </row>
    <row r="102" ht="36" customHeight="1">
      <c r="A102" s="21" t="inlineStr">
        <is>
          <t>5.5 Posúdil systém faktor „Správanie dlžníka" rovnako ako súd?</t>
        </is>
      </c>
      <c r="B102" s="22" t="n"/>
      <c r="C102" s="22" t="n"/>
      <c r="D102" s="23">
        <f>IF(C102="","",C102)</f>
        <v/>
      </c>
      <c r="E102" s="23">
        <f>IF(B102="","",B102)</f>
        <v/>
      </c>
      <c r="F102" s="23">
        <f>IF(B102="","",B102)</f>
        <v/>
      </c>
      <c r="G102" s="23">
        <f>IF(B102="","",B102)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negatívny</t>
        </is>
      </c>
      <c r="C103" s="18" t="inlineStr">
        <is>
          <t>negatívny</t>
        </is>
      </c>
      <c r="D103" s="18" t="inlineStr">
        <is>
          <t>negatívny</t>
        </is>
      </c>
      <c r="E103" s="18" t="inlineStr">
        <is>
          <t>negatívny</t>
        </is>
      </c>
      <c r="F103" s="18" t="inlineStr">
        <is>
          <t>negatívny</t>
        </is>
      </c>
      <c r="G103" s="18" t="inlineStr">
        <is>
          <t>negatívny</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neutrálny</t>
        </is>
      </c>
      <c r="D105" s="18" t="inlineStr">
        <is>
          <t>nespomínané</t>
        </is>
      </c>
      <c r="E105" s="18" t="inlineStr">
        <is>
          <t>neutrálny</t>
        </is>
      </c>
      <c r="F105" s="18" t="inlineStr">
        <is>
          <t>nespomínané</t>
        </is>
      </c>
      <c r="G105" s="18" t="inlineStr">
        <is>
          <t>neutrálny</t>
        </is>
      </c>
    </row>
    <row r="106" ht="36" customHeight="1">
      <c r="A106" s="21" t="inlineStr">
        <is>
          <t>5.7 Posúdil systém faktor „Správanie veriteľa" rovnako ako súd?</t>
        </is>
      </c>
      <c r="B106" s="22" t="n"/>
      <c r="C106" s="23">
        <f>IF(B106="","",B106)</f>
        <v/>
      </c>
      <c r="D106" s="22" t="n"/>
      <c r="E106" s="23">
        <f>IF(B106="","",B106)</f>
        <v/>
      </c>
      <c r="F106" s="23">
        <f>IF(D106="","",D106)</f>
        <v/>
      </c>
      <c r="G106" s="23">
        <f>IF(B106="","",B106)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