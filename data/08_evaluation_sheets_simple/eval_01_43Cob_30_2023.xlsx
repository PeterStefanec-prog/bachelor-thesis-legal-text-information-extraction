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ácia" sheetId="1" state="visible" r:id="rId1"/>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sz val="14"/>
    </font>
    <font>
      <i val="1"/>
      <color rgb="00595959"/>
      <sz val="10"/>
    </font>
    <font>
      <b val="1"/>
      <color rgb="00FFFFFF"/>
      <sz val="11"/>
    </font>
    <font>
      <color rgb="00333333"/>
      <sz val="10"/>
    </font>
    <font>
      <b val="1"/>
      <color rgb="001F4E79"/>
      <sz val="10"/>
    </font>
    <font>
      <color rgb="00404040"/>
      <sz val="10"/>
    </font>
    <font>
      <b val="1"/>
      <i val="1"/>
      <color rgb="001F4E79"/>
      <sz val="10"/>
    </font>
    <font>
      <b val="1"/>
      <color rgb="00FFFFFF"/>
      <sz val="12"/>
    </font>
    <font>
      <i val="1"/>
      <color rgb="00404040"/>
      <sz val="10"/>
    </font>
    <font>
      <b val="1"/>
      <color rgb="00FFFFFF"/>
      <sz val="10"/>
    </font>
    <font>
      <color rgb="00595959"/>
      <sz val="10"/>
    </font>
    <font>
      <b val="1"/>
      <color rgb="001F4E79"/>
      <sz val="12"/>
    </font>
    <font>
      <b val="1"/>
      <sz val="11"/>
    </font>
    <font>
      <b val="1"/>
      <i val="1"/>
      <color rgb="001F4E79"/>
      <sz val="11"/>
    </font>
  </fonts>
  <fills count="11">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C6EFCE"/>
        <bgColor rgb="00C6EFCE"/>
      </patternFill>
    </fill>
    <fill>
      <patternFill patternType="solid">
        <fgColor rgb="002E75B6"/>
        <bgColor rgb="002E75B6"/>
      </patternFill>
    </fill>
    <fill>
      <patternFill patternType="solid">
        <fgColor rgb="00F7F9FC"/>
        <bgColor rgb="00F7F9FC"/>
      </patternFill>
    </fill>
    <fill>
      <patternFill patternType="solid">
        <fgColor rgb="00DEEBF7"/>
        <bgColor rgb="00DEEBF7"/>
      </patternFill>
    </fill>
    <fill>
      <patternFill patternType="solid">
        <fgColor rgb="005B9BD5"/>
        <bgColor rgb="005B9BD5"/>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0" applyAlignment="1" pivotButton="0" quotePrefix="0" xfId="0">
      <alignment horizontal="left" vertical="center" indent="1"/>
    </xf>
    <xf numFmtId="0" fontId="4" fillId="0" borderId="0" applyAlignment="1" pivotButton="0" quotePrefix="0" xfId="0">
      <alignment horizontal="left" vertical="top" wrapText="1" indent="1"/>
    </xf>
    <xf numFmtId="0" fontId="5" fillId="0" borderId="0" applyAlignment="1" pivotButton="0" quotePrefix="0" xfId="0">
      <alignment horizontal="left" vertical="center" inden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applyAlignment="1" pivotButton="0" quotePrefix="0" xfId="0">
      <alignment horizontal="left" indent="1"/>
    </xf>
    <xf numFmtId="0" fontId="6" fillId="0" borderId="0" applyAlignment="1" pivotButton="0" quotePrefix="0" xfId="0">
      <alignment horizontal="left" vertical="top" wrapText="1" indent="2"/>
    </xf>
    <xf numFmtId="0" fontId="8" fillId="7" borderId="0" applyAlignment="1" pivotButton="0" quotePrefix="0" xfId="0">
      <alignment horizontal="center" vertical="center" wrapText="1"/>
    </xf>
    <xf numFmtId="0" fontId="9" fillId="8" borderId="0" applyAlignment="1" pivotButton="0" quotePrefix="0" xfId="0">
      <alignment horizontal="left" vertical="center" wrapText="1" indent="1"/>
    </xf>
    <xf numFmtId="0" fontId="7" fillId="9" borderId="0" applyAlignment="1" pivotButton="0" quotePrefix="0" xfId="0">
      <alignment horizontal="left" vertical="center" wrapText="1" indent="1"/>
    </xf>
    <xf numFmtId="0" fontId="10" fillId="10" borderId="1" applyAlignment="1" pivotButton="0" quotePrefix="0" xfId="0">
      <alignment horizontal="center" vertical="center" wrapText="1"/>
    </xf>
    <xf numFmtId="0" fontId="5" fillId="3" borderId="1" applyAlignment="1" pivotButton="0" quotePrefix="0" xfId="0">
      <alignment horizontal="center" vertical="center"/>
    </xf>
    <xf numFmtId="0" fontId="11" fillId="3" borderId="1" applyAlignment="1" pivotButton="0" quotePrefix="0" xfId="0">
      <alignment horizontal="left" vertical="top" wrapText="1"/>
    </xf>
    <xf numFmtId="0" fontId="12" fillId="4" borderId="2" applyAlignment="1" pivotButton="0" quotePrefix="0" xfId="0">
      <alignment horizontal="center" vertical="center" wrapText="1"/>
    </xf>
    <xf numFmtId="0" fontId="2" fillId="3"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13" fillId="4" borderId="2" applyAlignment="1" pivotButton="0" quotePrefix="0" xfId="0">
      <alignment horizontal="center" vertical="center" wrapText="1"/>
    </xf>
    <xf numFmtId="0" fontId="13" fillId="5" borderId="2" applyAlignment="1" pivotButton="0" quotePrefix="0" xfId="0">
      <alignment horizontal="center" vertical="center" wrapText="1"/>
    </xf>
    <xf numFmtId="0" fontId="10" fillId="7" borderId="0" applyAlignment="1" pivotButton="0" quotePrefix="0" xfId="0">
      <alignment horizontal="left" vertical="center" indent="1"/>
    </xf>
    <xf numFmtId="0" fontId="0" fillId="4" borderId="2" applyAlignment="1" pivotButton="0" quotePrefix="0" xfId="0">
      <alignment horizontal="left" vertical="top" wrapText="1"/>
    </xf>
    <xf numFmtId="0" fontId="14" fillId="0" borderId="0" applyAlignment="1" pivotButton="0" quotePrefix="0" xfId="0">
      <alignment horizontal="center" vertical="center"/>
    </xf>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cols>
    <col width="55" customWidth="1" min="1" max="1"/>
    <col width="21" customWidth="1" min="2" max="2"/>
    <col width="21" customWidth="1" min="3" max="3"/>
    <col width="21" customWidth="1" min="4" max="4"/>
    <col width="21" customWidth="1" min="5" max="5"/>
    <col width="21" customWidth="1" min="6" max="6"/>
    <col width="21" customWidth="1" min="7" max="7"/>
  </cols>
  <sheetData>
    <row r="1" ht="32" customHeight="1">
      <c r="A1" s="1" t="inlineStr">
        <is>
          <t>EVALUÁCIA EXTRAKCIE — 43Cob/30/2023</t>
        </is>
      </c>
    </row>
    <row r="2" ht="18" customHeight="1">
      <c r="A2" s="2" t="inlineStr">
        <is>
          <t>Dokument: KS_Banská_Bystrica_43Cob_30_2023_00_dokument</t>
        </is>
      </c>
    </row>
    <row r="4" ht="22" customHeight="1">
      <c r="A4" s="3" t="inlineStr">
        <is>
          <t>ČO JE TÁTO EVALUÁCIA</t>
        </is>
      </c>
    </row>
    <row r="5" ht="40" customHeight="1">
      <c r="A5" s="4" t="inlineStr">
        <is>
          <t>Hodnotíte presnosť automatizovanej extrakcie informácií o zmluvných pokutách zo súdnych rozhodnutí. Pre toto jedno konkrétne rozhodnutie porovnávate 6 výstupov (3 modely × 2 režimy) a posudzujete, ako presne každý z nich zachytil kľúčové informácie.</t>
        </is>
      </c>
    </row>
    <row r="6" ht="6" customHeight="1"/>
    <row r="7" ht="18" customHeight="1">
      <c r="A7" s="5" t="inlineStr">
        <is>
          <t>PREČO TO ROBÍME</t>
        </is>
      </c>
    </row>
    <row r="8" ht="108" customHeight="1">
      <c r="A8" s="4" t="inlineStr">
        <is>
          <t>Predstavte si typický deň v advokátskej kancelárii: klient si objedná zmluvu o dielo a opýta sa vás, akú zmluvnú pokutu stanoviť. Aby ste mu vedeli kvalifikovane poradiť, potrebujete vedieť, ako súdy v praxi rozhodujú — ktoré pokuty akceptujú a ktoré moderujú podľa § 301 Obchodného zákonníka. Dnes to znamená preštudovať desiatky rozhodnutí ručne. Náš nástroj to dokáže automaticky zo stoviek rozhodnutí za sekundy, čím advokátom poskytne presné štatistiky o rozhodovacej praxi. Táto extrakcia je medziprodukt k širšiemu systému vyhľadávania precedensov a navrhovania primeranej výšky pokút pri tvorbe nových zmlúv — práve preto musí byť absolútne presná a bez halucinácií, inak by odporúčania pre advokátov boli nesprávne.</t>
        </is>
      </c>
    </row>
    <row r="9" ht="6" customHeight="1"/>
    <row r="10" ht="18" customHeight="1">
      <c r="A10" s="5" t="inlineStr">
        <is>
          <t>ČO TESTUJEME</t>
        </is>
      </c>
    </row>
    <row r="11" ht="57" customHeight="1">
      <c r="A11" s="4" t="inlineStr">
        <is>
          <t>3 jazykové modely (GPT-4o od OpenAI, Gemini 2.5 Flash od Google, Qwen 3.5 397B open-source) v 2 režimoch — RAG (model dostane iba cielene vybrané pasáže rozhodnutia cez retrieval) a Full (model dostane celý text rozhodnutia). Stĺpce v tabuľkách sú označené priamo názvami modelov, takže viete čo hodnotíte.</t>
        </is>
      </c>
    </row>
    <row r="12" ht="6" customHeight="1"/>
    <row r="13" ht="18" customHeight="1">
      <c r="A13" s="5" t="inlineStr">
        <is>
          <t>VAŠA ÚLOHA</t>
        </is>
      </c>
    </row>
    <row r="14" ht="57" customHeight="1">
      <c r="A14" s="4" t="inlineStr">
        <is>
          <t>Pre každú otázku posúďte, ako dobre daný systém zachytil daný údaj oproti skutočnosti v PDF rozhodnutí, ktoré ste dostali k tejto evaluácii. Najviac nás zaujímajú HALUCINÁCIE — informácie, ktoré systém uviedol, ale v texte rozhodnutia sa vôbec nenachádzajú. Vaše hodnotenie pomôže určiť, ktorý model je najspoľahlivejší pre právnu prax. Odhadovaný čas: ~15 minút.</t>
        </is>
      </c>
    </row>
    <row r="16" ht="22" customHeight="1">
      <c r="A16" s="3" t="inlineStr">
        <is>
          <t>LEGENDA</t>
        </is>
      </c>
    </row>
    <row r="17" ht="22" customHeight="1">
      <c r="A17" s="6" t="inlineStr">
        <is>
          <t>SIVÝ RIADOK</t>
        </is>
      </c>
      <c r="B17" s="7" t="inlineStr">
        <is>
          <t>čo systémy extrahovali (iba na čítanie — referencia)</t>
        </is>
      </c>
    </row>
    <row r="18" ht="22" customHeight="1">
      <c r="A18" s="8" t="inlineStr">
        <is>
          <t>BIELY RIADOK s modrým rámom</t>
        </is>
      </c>
      <c r="B18" s="7" t="inlineStr">
        <is>
          <t>tu vyplňte svoje hodnotenie (dropdown)</t>
        </is>
      </c>
    </row>
    <row r="19" ht="22" customHeight="1">
      <c r="A19" s="9" t="inlineStr">
        <is>
          <t>SVETLOŽLTÁ BUNKA</t>
        </is>
      </c>
      <c r="B19" s="7" t="inlineStr">
        <is>
          <t>automaticky prepojená — vyplnením jednej sa vyplnia aj ostatné s rovnakou extrakciou</t>
        </is>
      </c>
    </row>
    <row r="20" ht="22" customHeight="1">
      <c r="A20" s="10" t="inlineStr">
        <is>
          <t>SVETLOZELENÁ BUNKA</t>
        </is>
      </c>
      <c r="B20" s="7" t="inlineStr">
        <is>
          <t>už vyplnené (zmení sa automaticky po zadaní hodnoty)</t>
        </is>
      </c>
    </row>
    <row r="22" ht="20" customHeight="1">
      <c r="A22" s="11" t="inlineStr">
        <is>
          <t>TYPY DROPDOWN-u a ČO ZNAMENAJÚ HODNOTY</t>
        </is>
      </c>
    </row>
    <row r="23" ht="36" customHeight="1">
      <c r="A23" s="12" t="inlineStr">
        <is>
          <t>Škála 1-10 — pre zhrnutie sporu a celkové hodnotenie (halucinácie, celkový dojem).  1 = nepoužiteľné / vymyslené, 10 = presné a spoľahlivé.</t>
        </is>
      </c>
    </row>
    <row r="24" ht="36" customHeight="1">
      <c r="A24" s="12" t="inlineStr">
        <is>
          <t>áno / čiastočne / nie / neviem — pre FAKTORY primeranosti.  Znamená: zodpovedá hodnotenie faktora systémom tomu, čo reálne povedal súd v texte rozhodnutia?  „neviem" zvoľte, ak neviete jednoznačne posúdiť.</t>
        </is>
      </c>
    </row>
    <row r="27" ht="22" customHeight="1">
      <c r="A27" s="13" t="inlineStr">
        <is>
          <t>═══ SEKCIA 1 — KONTEXT SPORU ═══</t>
        </is>
      </c>
    </row>
    <row r="28" ht="40" customHeight="1">
      <c r="A28" s="14" t="inlineStr">
        <is>
          <t>Základný kontext: o čom je celý spor (textové zhrnutie), aký typ zmluvy je predmetom a kto sú strany. Začíname textovým zhrnutím, lebo je to najlepší spôsob, ako rýchlo pochopiť, o čo v spore ide.</t>
        </is>
      </c>
    </row>
    <row r="29" ht="22" customHeight="1">
      <c r="A29" s="15" t="inlineStr">
        <is>
          <t>1.1 ZHRNUTIE SPORU — vystihuje systém podstatu sporu a čo žalobca požadoval? (1-10)</t>
        </is>
      </c>
    </row>
    <row r="30" ht="22" customHeight="1">
      <c r="A30" s="16" t="inlineStr">
        <is>
          <t>Systém</t>
        </is>
      </c>
      <c r="B30" s="16" t="inlineStr">
        <is>
          <t>Text extrakcie</t>
        </is>
      </c>
      <c r="G30" s="16" t="inlineStr">
        <is>
          <t>Skóre 1-10</t>
        </is>
      </c>
    </row>
    <row r="31" ht="59" customHeight="1">
      <c r="A31" s="17" t="inlineStr">
        <is>
          <t>GPT-4o RAG</t>
        </is>
      </c>
      <c r="B31" s="18" t="inlineStr">
        <is>
          <t>Žalobca ViaStav BB s.r.o. sa domáhal úhrady istiny 101.171,10 Eur z titulu neuhradenej ceny prác na diele R2N BUSINESS CENTER podľa Zmluvy o dielo č. 02/2019/R2N-VIASTAV. Žalovaný SLOB-real, s.r.o. si uplatnil nárok na zmluvnú pokutu za omeškanie s odovzdaním diela.</t>
        </is>
      </c>
      <c r="G31" s="19" t="n"/>
    </row>
    <row r="32" ht="59" customHeight="1">
      <c r="A32" s="17" t="inlineStr">
        <is>
          <t>GPT-4o Full</t>
        </is>
      </c>
      <c r="B32" s="18" t="inlineStr">
        <is>
          <t>Žalobca ViaStav BB s.r.o. sa domáhal úhrady istiny 101.171,10 Eur z titulu neuhradenej ceny prác na diele R2N BUSINESS CENTER - Rekonštrukcia objektu podľa Zmluvy o dielo. Žalovaný SLOB-real, s.r.o. si uplatnil nárok na zmluvnú pokutu za omeškanie s odovzdaním diela.</t>
        </is>
      </c>
      <c r="G32" s="19" t="n"/>
    </row>
    <row r="33" ht="42" customHeight="1">
      <c r="A33" s="17" t="inlineStr">
        <is>
          <t>Gemini RAG</t>
        </is>
      </c>
      <c r="B33" s="18" t="inlineStr">
        <is>
          <t>Žalobca sa domáhal úhrady istiny 101.171,10 Eur s príslušenstvom z titulu neuhradenej ceny prác na diele. Žalovaný si uplatnil nárok na zmluvnú pokutu za omeškanie s odovzdaním diela a bránil sa kompenzačnou námietkou.</t>
        </is>
      </c>
      <c r="G33" s="19" t="n"/>
    </row>
    <row r="34" ht="59" customHeight="1">
      <c r="A34" s="17" t="inlineStr">
        <is>
          <t>Gemini Full</t>
        </is>
      </c>
      <c r="B34" s="18" t="inlineStr">
        <is>
          <t>Žalobca sa domáhal od žalovaného úhrady istiny 101.171,10 Eur s príslušenstvom z titulu neuhradenej ceny prác na diele podľa Zmluvy o dielo. Žalovaný si uplatnil kompenzačnú námietku na zmluvnú pokutu za omeškanie žalobcu s odovzdaním diela.</t>
        </is>
      </c>
      <c r="G34" s="19" t="n"/>
    </row>
    <row r="35" ht="59" customHeight="1">
      <c r="A35" s="17" t="inlineStr">
        <is>
          <t>Qwen 3.5 RAG</t>
        </is>
      </c>
      <c r="B35" s="18" t="inlineStr">
        <is>
          <t>Žalobca sa domáhal zaplatenia ceny za stavebné práce podľa Zmluvy o dielo, pričom žalovaný uplatnil kompenzačnú námietku voči nároku na zmluvnú pokutu za oneskorené odovzdanie diela. Spor sa týkal oprávnenosti fakturácie naviac prác v čiastkových faktúrach a výšky zmluvnej pokuty za omeškanie zhotoviteľa.</t>
        </is>
      </c>
      <c r="G35" s="19" t="n"/>
    </row>
    <row r="36" ht="59" customHeight="1">
      <c r="A36" s="17" t="inlineStr">
        <is>
          <t>Qwen 3.5 Full</t>
        </is>
      </c>
      <c r="B36" s="18" t="inlineStr">
        <is>
          <t>Žalobca sa domáhal zaplatenia ceny za stavebné práce a viacpráce vo výške 101.171,10 EUR. Žalovaný uplatnil kompenzačnú námietku voči nároku na zmluvnú pokutu za omeškanie s odovzdaním diela, ktorú pôvodne vyčísli na sumu prevyšujúcu pohľadávku, no súd ju moderoval.</t>
        </is>
      </c>
      <c r="G36" s="19" t="n"/>
    </row>
    <row r="38" ht="22" customHeight="1">
      <c r="A38" s="13" t="inlineStr">
        <is>
          <t>═══ SEKCIA 2 — ODÔVODNENIE SÚDU ═══</t>
        </is>
      </c>
    </row>
    <row r="39" ht="40" customHeight="1">
      <c r="A39" s="14" t="inlineStr">
        <is>
          <t>Textové zhrnutie odôvodnenia súdu — prečo súd rozhodol tak ako rozhodol. Posúďte, ako dobre systém zachytil kľúčové argumenty súdu v porovnaní s PDF rozhodnutím. Práve tu modely často halucinujú falošné závery alebo vynechajú kľúčové pasáže.</t>
        </is>
      </c>
    </row>
    <row r="40" ht="22" customHeight="1">
      <c r="A40" s="15" t="inlineStr">
        <is>
          <t>2.1 ZHRNUTIE ODÔVODNENIA SÚDU — zachytáva systém kľúčové argumenty, prečo súd rozhodol tak ako rozhodol? (1-10)</t>
        </is>
      </c>
    </row>
    <row r="41" ht="22" customHeight="1">
      <c r="A41" s="16" t="inlineStr">
        <is>
          <t>Systém</t>
        </is>
      </c>
      <c r="B41" s="16" t="inlineStr">
        <is>
          <t>Text extrakcie</t>
        </is>
      </c>
      <c r="G41" s="16" t="inlineStr">
        <is>
          <t>Skóre 1-10</t>
        </is>
      </c>
    </row>
    <row r="42" ht="76" customHeight="1">
      <c r="A42" s="17" t="inlineStr">
        <is>
          <t>GPT-4o RAG</t>
        </is>
      </c>
      <c r="B42" s="18" t="inlineStr">
        <is>
          <t>Súd prvej inštancie znížil zmluvnú pokutu z pôvodne uplatňovanej sumy 139.870,80 Eur na 69.935,40 Eur. Dôvodom bola neprimeranosť výšky pokuty vzhľadom na hodnotu a význam zabezpečovanej povinnosti a rozpor s dobrými mravmi. Súd zohľadnil aj skutočnosť, že žalovaný nepreukázal vznik škody a že žalobca bol v omeškaní aj kvôli naviac prácam požadovaným žalovaným.</t>
        </is>
      </c>
      <c r="G42" s="19" t="n"/>
    </row>
    <row r="43" ht="76" customHeight="1">
      <c r="A43" s="17" t="inlineStr">
        <is>
          <t>GPT-4o Full</t>
        </is>
      </c>
      <c r="B43" s="18" t="inlineStr">
        <is>
          <t>Súd prvej inštancie znížil zmluvnú pokutu z pôvodne uplatnenej sumy 748.527,26 Eur na 69.935,40 Eur. Pri rozhodovaní zohľadnil, že žalovaný nepreukázal výšku škody spôsobenej omeškaním a že žalobca bol v omeškaní s odovzdaním diela. Súd tiež zohľadnil, že žalovaný objednával naviac práce, ktoré ovplyvnili termín odovzdania diela.</t>
        </is>
      </c>
      <c r="G43" s="19" t="n"/>
    </row>
    <row r="44" ht="93" customHeight="1">
      <c r="A44" s="17" t="inlineStr">
        <is>
          <t>Gemini RAG</t>
        </is>
      </c>
      <c r="B44" s="18" t="inlineStr">
        <is>
          <t>Súd prvej inštancie znížil neprimerane vysokú zmluvnú pokutu podľa § 301 Obchodného zákonníka z pôvodne uplatňovanej sumy 139.870,80 Eur na 69.935,40 Eur. Pri moderácii súd zohľadnil hodnotu a význam zabezpečovanej povinnosti, správanie veriteľa (žalovaného), ktorý nešpecifikoval výšku škody, neavizoval uplatnenie pokuty a sám meškal s vybavením stavebného povolenia a objednával naviac práce. Súd tiež považoval duplicitné uplatňovanie rovnakej výšky zmluvnej pokuty za rozporné s dobrými mravmi a poctivým obchodným stykom.</t>
        </is>
      </c>
      <c r="G44" s="19" t="n"/>
    </row>
    <row r="45" ht="93" customHeight="1">
      <c r="A45" s="17" t="inlineStr">
        <is>
          <t>Gemini Full</t>
        </is>
      </c>
      <c r="B45" s="18" t="inlineStr">
        <is>
          <t>Súd prvej inštancie znížil zmluvnú pokutu z pôvodne uplatňovanej sumy 748.527,26 Eur na 69.935,40 Eur, ktorú žalovaný sám pôvodne považoval za postačujúcu. Pri moderácii súd zohľadnil, že žalovaný nešpecifikoval výšku škody, ktorú mu oneskorené odovzdanie diela spôsobilo, a tiež to, že žalovaný sám objednával naviac práce a meškal so stavebným povolením, čo ovplyvnilo termín dokončenia diela. Súd tiež považoval duplicitné uplatňovanie zmluvnej pokuty za rovnaké obdobie za rozporné s dobrými mravmi.</t>
        </is>
      </c>
      <c r="G45" s="19" t="n"/>
    </row>
    <row r="46" ht="127" customHeight="1">
      <c r="A46" s="17" t="inlineStr">
        <is>
          <t>Qwen 3.5 RAG</t>
        </is>
      </c>
      <c r="B46" s="18" t="inlineStr">
        <is>
          <t>Súd prvej inštancie aplikoval moderačné právo podľa § 301 Obchodného zákonníka, keďže považoval pôvodne uplatnenú sumu 139.870,80 EUR za neprimerane vysokú vzhľadom na to, že žalovaný nepreukázal vzniknutú škodu a duplicitne uplatňoval tú istú pokutu vo viacerých konaniach, čo bolo v rozpore s dobrými mravmi. Súd znížil pokutu na sumu 69.935,40 EUR, ktorú považoval za postačujúcu, pričom zohľadnil aj skutočnosť, že žalovaný objednával naviac práce po lehote splatnosti a oneskoril vybavenie stavebného povolenia, čo ovplyvnilo termín odovzdania diela. Odvolací súd toto rozhodnutie potvrdil, keďže žalovaný vo svojom odvolaní nenapadol dôvody moderácie, ale iba trval na pôvodnej vyššej sume.</t>
        </is>
      </c>
      <c r="G46" s="19" t="n"/>
    </row>
    <row r="47" ht="93" customHeight="1">
      <c r="A47" s="17" t="inlineStr">
        <is>
          <t>Qwen 3.5 Full</t>
        </is>
      </c>
      <c r="B47" s="18" t="inlineStr">
        <is>
          <t>Súd konštatoval, že hoci by pôvodná zmluvná pokuta za 137 dní omeškania predstavovala sumu 748.527,26 EUR, jej uplatnenie v plnej výške by bolo neprimerané. Pri moderácii podľa § 301 Obchodného zákonníka súd prihliadal na to, že žalovaný si nárok nešpecifikoval presným výpočtom, nepreukázal vzniknutú škodu a sám svojím konaním (objednávanie viacprác po lehote, meškanie so stavebným povolením) prispel k omeškaniu. Súd tiež považoval duplicitné uplatňovanie tej istej sumy pokuty vo viacerých konaniach za rozporné s dobrými mravmi.</t>
        </is>
      </c>
      <c r="G47" s="19" t="n"/>
    </row>
    <row r="49" ht="22" customHeight="1">
      <c r="A49" s="13" t="inlineStr">
        <is>
          <t>═══ SEKCIA 3 — FAKTORY PRIMERANOSTI PODĽA § 301 OBCHZ ═══</t>
        </is>
      </c>
    </row>
    <row r="50" ht="88" customHeight="1">
      <c r="A50" s="14" t="inlineStr">
        <is>
          <t>Pri moderácii zmluvnej pokuty súd váži viaceré faktory. Pre každý zo 7 faktorov systém priradil postoj súdu podľa toho, ako ho súd v odôvodnení hodnotil: POZITÍVNY (súd faktor hodnotí v prospech ZACHOVANIA pokuty), NEGATÍVNY (v prospech ZNÍŽENIA pokuty), NEUTRÁLNY (spomenutý bez jasného postoja), NESPOMÍNANÉ (súd sa tým vôbec nezaoberal). Vašou úlohou je pre každý faktor posúdiť, či tento postoj zodpovedá tomu, čo súd v texte rozhodnutia reálne povedal. Detailné vysvetlenie každého faktora a významu jednotlivých hodnôt nájdete v sivých riadkoch priamo pri otázkach.</t>
        </is>
      </c>
    </row>
    <row r="51" ht="22" customHeight="1">
      <c r="A51" s="16" t="inlineStr">
        <is>
          <t>Pole / Otázka</t>
        </is>
      </c>
      <c r="B51" s="16" t="inlineStr">
        <is>
          <t>GPT-4o RAG</t>
        </is>
      </c>
      <c r="C51" s="16" t="inlineStr">
        <is>
          <t>GPT-4o Full</t>
        </is>
      </c>
      <c r="D51" s="16" t="inlineStr">
        <is>
          <t>Gemini RAG</t>
        </is>
      </c>
      <c r="E51" s="16" t="inlineStr">
        <is>
          <t>Gemini Full</t>
        </is>
      </c>
      <c r="F51" s="16" t="inlineStr">
        <is>
          <t>Qwen 3.5 RAG</t>
        </is>
      </c>
      <c r="G51" s="16" t="inlineStr">
        <is>
          <t>Qwen 3.5 Full</t>
        </is>
      </c>
    </row>
    <row r="52" ht="90" customHeight="1">
      <c r="A52" s="20" t="inlineStr">
        <is>
          <t>DOBRÉ MRAVY (§ 39 OZ) — je pokuta v rozpore s dobrými mravmi?
  • pozitívny = súd rozhodol že NIE JE v rozpore (podporuje platnosť pokuty)
  • negatívny = súd ju vyhlásil za v rozpore (dôvod na moderáciu/zamietnutie)
  • neutrálny = súd faktor spomína bez jasného stanoviska
  • nespomínané = súd sa tým nezaoberal</t>
        </is>
      </c>
      <c r="B52" s="18" t="inlineStr">
        <is>
          <t>negatívny</t>
        </is>
      </c>
      <c r="C52" s="18" t="inlineStr">
        <is>
          <t>negatívny</t>
        </is>
      </c>
      <c r="D52" s="18" t="inlineStr">
        <is>
          <t>negatívny</t>
        </is>
      </c>
      <c r="E52" s="18" t="inlineStr">
        <is>
          <t>negatívny</t>
        </is>
      </c>
      <c r="F52" s="18" t="inlineStr">
        <is>
          <t>negatívny</t>
        </is>
      </c>
      <c r="G52" s="18" t="inlineStr">
        <is>
          <t>negatívny</t>
        </is>
      </c>
    </row>
    <row r="53" ht="36" customHeight="1">
      <c r="A53" s="21" t="inlineStr">
        <is>
          <t>3.1 Posúdil systém faktor „Dobré mravy" rovnako ako súd?</t>
        </is>
      </c>
      <c r="B53" s="22" t="n"/>
      <c r="C53" s="23">
        <f>IF(B53="","",B53)</f>
        <v/>
      </c>
      <c r="D53" s="23">
        <f>IF(B53="","",B53)</f>
        <v/>
      </c>
      <c r="E53" s="23">
        <f>IF(B53="","",B53)</f>
        <v/>
      </c>
      <c r="F53" s="23">
        <f>IF(B53="","",B53)</f>
        <v/>
      </c>
      <c r="G53" s="23">
        <f>IF(B53="","",B53)</f>
        <v/>
      </c>
    </row>
    <row r="54" ht="90" customHeight="1">
      <c r="A54" s="20" t="inlineStr">
        <is>
          <t>ZABEZPEČOVACIA FUNKCIA — plní pokuta svoj účel motivovať dlžníka k plneniu?
  • pozitívny = súd uznal, že pokuta plní zabezpečovaciu funkciu
  • negatívny = súd uviedol, že pokuta svoj účel neplnila
  • neutrálny = zmienka bez jasného stanoviska
  • nespomínané = faktor nebol diskutovaný</t>
        </is>
      </c>
      <c r="B54" s="18" t="inlineStr">
        <is>
          <t>neutrálny</t>
        </is>
      </c>
      <c r="C54" s="18" t="inlineStr">
        <is>
          <t>pozitívny</t>
        </is>
      </c>
      <c r="D54" s="18" t="inlineStr">
        <is>
          <t>pozitívny</t>
        </is>
      </c>
      <c r="E54" s="18" t="inlineStr">
        <is>
          <t>pozitívny</t>
        </is>
      </c>
      <c r="F54" s="18" t="inlineStr">
        <is>
          <t>neutrálny</t>
        </is>
      </c>
      <c r="G54" s="18" t="inlineStr">
        <is>
          <t>neutrálny</t>
        </is>
      </c>
    </row>
    <row r="55" ht="36" customHeight="1">
      <c r="A55" s="21" t="inlineStr">
        <is>
          <t>3.2 Posúdil systém faktor „Zabezpečovacia funkcia" rovnako ako súd?</t>
        </is>
      </c>
      <c r="B55" s="22" t="n"/>
      <c r="C55" s="22" t="n"/>
      <c r="D55" s="23">
        <f>IF(C55="","",C55)</f>
        <v/>
      </c>
      <c r="E55" s="23">
        <f>IF(C55="","",C55)</f>
        <v/>
      </c>
      <c r="F55" s="23">
        <f>IF(B55="","",B55)</f>
        <v/>
      </c>
      <c r="G55" s="23">
        <f>IF(B55="","",B55)</f>
        <v/>
      </c>
    </row>
    <row r="56" ht="90" customHeight="1">
      <c r="A56" s="20" t="inlineStr">
        <is>
          <t>VÝŠKA SKUTOČNEJ ŠKODY — pokrýva pokuta primerane reálnu škodu veriteľa?
  • pozitívny = súd uznal, že pokuta primerane pokrýva škodu
  • negatívny = súd konštatoval, že pokuta výrazne prevyšuje škodu (dôvod na moderáciu)
  • neutrálny = diskusia bez záveru
  • nespomínané = súd túto tému neotvoril</t>
        </is>
      </c>
      <c r="B56" s="18" t="inlineStr">
        <is>
          <t>negatívny</t>
        </is>
      </c>
      <c r="C56" s="18" t="inlineStr">
        <is>
          <t>negatívny</t>
        </is>
      </c>
      <c r="D56" s="18" t="inlineStr">
        <is>
          <t>negatívny</t>
        </is>
      </c>
      <c r="E56" s="18" t="inlineStr">
        <is>
          <t>negatívny</t>
        </is>
      </c>
      <c r="F56" s="18" t="inlineStr">
        <is>
          <t>negatívny</t>
        </is>
      </c>
      <c r="G56" s="18" t="inlineStr">
        <is>
          <t>negatívny</t>
        </is>
      </c>
    </row>
    <row r="57" ht="36" customHeight="1">
      <c r="A57" s="21" t="inlineStr">
        <is>
          <t>3.3 Posúdil systém faktor „Výška škody" rovnako ako súd?</t>
        </is>
      </c>
      <c r="B57" s="22" t="n"/>
      <c r="C57" s="23">
        <f>IF(B57="","",B57)</f>
        <v/>
      </c>
      <c r="D57" s="23">
        <f>IF(B57="","",B57)</f>
        <v/>
      </c>
      <c r="E57" s="23">
        <f>IF(B57="","",B57)</f>
        <v/>
      </c>
      <c r="F57" s="23">
        <f>IF(B57="","",B57)</f>
        <v/>
      </c>
      <c r="G57" s="23">
        <f>IF(B57="","",B57)</f>
        <v/>
      </c>
    </row>
    <row r="58" ht="90" customHeight="1">
      <c r="A58" s="20" t="inlineStr">
        <is>
          <t>POMER POKUTY K ISTINE — aký je pomer pokuty k dlžnej sume (napr. 48%, 150%, 300%)?
  • pozitívny = súd rozhodol, že pomer je primeraný (podporuje pokutu)
  • negatívny = súd považoval pomer za neprimerane vysoký (dôvod na moderáciu)
  • neutrálny = pomer spomenutý bez stanoviska
  • nespomínané = súd túto otázku neriešil</t>
        </is>
      </c>
      <c r="B58" s="18" t="inlineStr">
        <is>
          <t>negatívny</t>
        </is>
      </c>
      <c r="C58" s="18" t="inlineStr">
        <is>
          <t>negatívny</t>
        </is>
      </c>
      <c r="D58" s="18" t="inlineStr">
        <is>
          <t>negatívny</t>
        </is>
      </c>
      <c r="E58" s="18" t="inlineStr">
        <is>
          <t>negatívny</t>
        </is>
      </c>
      <c r="F58" s="18" t="inlineStr">
        <is>
          <t>negatívny</t>
        </is>
      </c>
      <c r="G58" s="18" t="inlineStr">
        <is>
          <t>pozitívny</t>
        </is>
      </c>
    </row>
    <row r="59" ht="36" customHeight="1">
      <c r="A59" s="21" t="inlineStr">
        <is>
          <t>3.4 Posúdil systém faktor „Pomer k istine" rovnako ako súd?</t>
        </is>
      </c>
      <c r="B59" s="22" t="n"/>
      <c r="C59" s="23">
        <f>IF(B59="","",B59)</f>
        <v/>
      </c>
      <c r="D59" s="23">
        <f>IF(B59="","",B59)</f>
        <v/>
      </c>
      <c r="E59" s="23">
        <f>IF(B59="","",B59)</f>
        <v/>
      </c>
      <c r="F59" s="23">
        <f>IF(B59="","",B59)</f>
        <v/>
      </c>
      <c r="G59" s="22" t="n"/>
    </row>
    <row r="60" ht="106" customHeight="1">
      <c r="A60" s="20" t="inlineStr">
        <is>
          <t>SPRÁVANIE DLŽNÍKA — zavinenie, opakovanie, úmysel, ochota plniť
  POZOR: „pozitívny" a „negatívny" sa vzťahujú k PODPORE POKUTY, nie k sentimentu o dlžníkovi!
  • pozitívny = správanie dlžníka je DÔVODOM pre priznanie pokuty (opakované porušenia, úmysel)
  • negatívny = správanie dlžníka je ospravedlniteľné — dôvod na MODERÁCIU (ťažkosti mimo jeho kontroly)
  • neutrálny = diskusia bez jasného postoja
  • nespomínané = súd faktor neotvoril</t>
        </is>
      </c>
      <c r="B60" s="18" t="inlineStr">
        <is>
          <t>neutrálny</t>
        </is>
      </c>
      <c r="C60" s="18" t="inlineStr">
        <is>
          <t>neutrálny</t>
        </is>
      </c>
      <c r="D60" s="18" t="inlineStr">
        <is>
          <t>negatívny</t>
        </is>
      </c>
      <c r="E60" s="18" t="inlineStr">
        <is>
          <t>neutrálny</t>
        </is>
      </c>
      <c r="F60" s="18" t="inlineStr">
        <is>
          <t>pozitívny</t>
        </is>
      </c>
      <c r="G60" s="18" t="inlineStr">
        <is>
          <t>negatívny</t>
        </is>
      </c>
    </row>
    <row r="61" ht="36" customHeight="1">
      <c r="A61" s="21" t="inlineStr">
        <is>
          <t>3.5 Posúdil systém faktor „Správanie dlžníka" rovnako ako súd?</t>
        </is>
      </c>
      <c r="B61" s="22" t="n"/>
      <c r="C61" s="23">
        <f>IF(B61="","",B61)</f>
        <v/>
      </c>
      <c r="D61" s="22" t="n"/>
      <c r="E61" s="23">
        <f>IF(B61="","",B61)</f>
        <v/>
      </c>
      <c r="F61" s="22" t="n"/>
      <c r="G61" s="23">
        <f>IF(D61="","",D61)</f>
        <v/>
      </c>
    </row>
    <row r="62" ht="90" customHeight="1">
      <c r="A62" s="20" t="inlineStr">
        <is>
          <t>KUMULÁCIA S ÚROKOM — je prijateľné sčítať zmluvnú pokutu a úrok z omeškania?
  • pozitívny = súd akceptoval kumuláciu pokuty a úroku
  • negatívny = súd považoval súčet za neprimeraný (dôvod na moderáciu)
  • neutrálny = kumulácia spomenutá bez stanoviska
  • nespomínané = súd faktor neriešil</t>
        </is>
      </c>
      <c r="B62" s="18" t="inlineStr">
        <is>
          <t>nespomínané</t>
        </is>
      </c>
      <c r="C62" s="18" t="inlineStr">
        <is>
          <t>nespomínané</t>
        </is>
      </c>
      <c r="D62" s="18" t="inlineStr">
        <is>
          <t>nespomínané</t>
        </is>
      </c>
      <c r="E62" s="18" t="inlineStr">
        <is>
          <t>nespomínané</t>
        </is>
      </c>
      <c r="F62" s="18" t="inlineStr">
        <is>
          <t>nespomínané</t>
        </is>
      </c>
      <c r="G62" s="18" t="inlineStr">
        <is>
          <t>nespomínané</t>
        </is>
      </c>
    </row>
    <row r="63" ht="36" customHeight="1">
      <c r="A63" s="21" t="inlineStr">
        <is>
          <t>3.6 Posúdil systém faktor „Kumulácia s úrokom" rovnako ako súd?</t>
        </is>
      </c>
      <c r="B63" s="22" t="n"/>
      <c r="C63" s="23">
        <f>IF(B63="","",B63)</f>
        <v/>
      </c>
      <c r="D63" s="23">
        <f>IF(B63="","",B63)</f>
        <v/>
      </c>
      <c r="E63" s="23">
        <f>IF(B63="","",B63)</f>
        <v/>
      </c>
      <c r="F63" s="23">
        <f>IF(B63="","",B63)</f>
        <v/>
      </c>
      <c r="G63" s="23">
        <f>IF(B63="","",B63)</f>
        <v/>
      </c>
    </row>
    <row r="64" ht="90" customHeight="1">
      <c r="A64" s="20" t="inlineStr">
        <is>
          <t>SPRÁVANIE VERITEĽA — konal žalobca v dobrej viere, alebo zneužíval svoju pozíciu?
  • pozitívny = veriteľ konal v dobrej viere, správne uplatnil nárok (podporuje pokutu)
  • negatívny = veriteľ konal účelovo (napr. zámerne čakal, aby nárok narástol) — dôvod na moderáciu
  • neutrálny = správanie diskutované bez záveru
  • nespomínané = súd faktor neotvoril</t>
        </is>
      </c>
      <c r="B64" s="18" t="inlineStr">
        <is>
          <t>negatívny</t>
        </is>
      </c>
      <c r="C64" s="18" t="inlineStr">
        <is>
          <t>negatívny</t>
        </is>
      </c>
      <c r="D64" s="18" t="inlineStr">
        <is>
          <t>negatívny</t>
        </is>
      </c>
      <c r="E64" s="18" t="inlineStr">
        <is>
          <t>negatívny</t>
        </is>
      </c>
      <c r="F64" s="18" t="inlineStr">
        <is>
          <t>negatívny</t>
        </is>
      </c>
      <c r="G64" s="18" t="inlineStr">
        <is>
          <t>negatívny</t>
        </is>
      </c>
    </row>
    <row r="65" ht="36" customHeight="1">
      <c r="A65" s="21" t="inlineStr">
        <is>
          <t>3.7 Posúdil systém faktor „Správanie veriteľa" rovnako ako súd?</t>
        </is>
      </c>
      <c r="B65" s="22" t="n"/>
      <c r="C65" s="23">
        <f>IF(B65="","",B65)</f>
        <v/>
      </c>
      <c r="D65" s="23">
        <f>IF(B65="","",B65)</f>
        <v/>
      </c>
      <c r="E65" s="23">
        <f>IF(B65="","",B65)</f>
        <v/>
      </c>
      <c r="F65" s="23">
        <f>IF(B65="","",B65)</f>
        <v/>
      </c>
      <c r="G65" s="23">
        <f>IF(B65="","",B65)</f>
        <v/>
      </c>
    </row>
    <row r="67" ht="22" customHeight="1">
      <c r="A67" s="13" t="inlineStr">
        <is>
          <t>═══ SEKCIA 4 — HALUCINÁCIE A CELKOVÝ DOJEM ═══</t>
        </is>
      </c>
    </row>
    <row r="68" ht="56" customHeight="1">
      <c r="A68" s="14" t="inlineStr">
        <is>
          <t>Celkové posúdenie. HALUCINÁCIA = systém tvrdí niečo, čo sa v rozhodnutí vôbec nenachádza (vymyslený údaj, suma, meno, fakt...). Toto je pre nás najdôležitejšia metrika — chceme zistiť, ktorý prístup (RAG vs full-doc) menej halucinuje. CELKOVÝ DOJEM = keby ste tento výstup dostali ako právnik, pomohol by vám v praxi?</t>
        </is>
      </c>
    </row>
    <row r="69" ht="22" customHeight="1">
      <c r="A69" s="16" t="inlineStr">
        <is>
          <t>Pole / Otázka</t>
        </is>
      </c>
      <c r="B69" s="16" t="inlineStr">
        <is>
          <t>GPT-4o RAG</t>
        </is>
      </c>
      <c r="C69" s="16" t="inlineStr">
        <is>
          <t>GPT-4o Full</t>
        </is>
      </c>
      <c r="D69" s="16" t="inlineStr">
        <is>
          <t>Gemini RAG</t>
        </is>
      </c>
      <c r="E69" s="16" t="inlineStr">
        <is>
          <t>Gemini Full</t>
        </is>
      </c>
      <c r="F69" s="16" t="inlineStr">
        <is>
          <t>Qwen 3.5 RAG</t>
        </is>
      </c>
      <c r="G69" s="16" t="inlineStr">
        <is>
          <t>Qwen 3.5 Full</t>
        </is>
      </c>
    </row>
    <row r="70" ht="36" customHeight="1">
      <c r="A70" s="21" t="inlineStr">
        <is>
          <t>4.1 Halucinácie  (1 = veľa vymyslených, 10 = žiadne)</t>
        </is>
      </c>
      <c r="B70" s="22" t="n"/>
      <c r="C70" s="22" t="n"/>
      <c r="D70" s="22" t="n"/>
      <c r="E70" s="22" t="n"/>
      <c r="F70" s="22" t="n"/>
      <c r="G70" s="22" t="n"/>
    </row>
    <row r="71" ht="36" customHeight="1">
      <c r="A71" s="21" t="inlineStr">
        <is>
          <t>4.2 Celkový dojem  (1 = nepoužiteľné, 10 = vysoko spoľahlivé)</t>
        </is>
      </c>
      <c r="B71" s="22" t="n"/>
      <c r="C71" s="22" t="n"/>
      <c r="D71" s="22" t="n"/>
      <c r="E71" s="22" t="n"/>
      <c r="F71" s="22" t="n"/>
      <c r="G71" s="22" t="n"/>
    </row>
    <row r="73" ht="22" customHeight="1">
      <c r="A73" s="24" t="inlineStr">
        <is>
          <t>KOMENTÁR — Čo vám na extrakciách najviac prekážalo? (voliteľné)</t>
        </is>
      </c>
    </row>
    <row r="74" ht="35" customHeight="1">
      <c r="A74" s="25" t="n"/>
    </row>
    <row r="75" ht="35" customHeight="1"/>
    <row r="76" ht="35" customHeight="1"/>
    <row r="78" ht="22" customHeight="1">
      <c r="A78" s="24" t="inlineStr">
        <is>
          <t>KOMENTÁR — Čo bolo naopak najlepšie? (voliteľné)</t>
        </is>
      </c>
    </row>
    <row r="79" ht="35" customHeight="1">
      <c r="A79" s="25" t="n"/>
    </row>
    <row r="80" ht="35" customHeight="1"/>
    <row r="81" ht="35" customHeight="1"/>
    <row r="83" ht="24" customHeight="1">
      <c r="A83" s="26" t="inlineStr">
        <is>
          <t>ĎAKUJEM za váš čas a odbornosť!</t>
        </is>
      </c>
    </row>
  </sheetData>
  <mergeCells count="47">
    <mergeCell ref="A14:G14"/>
    <mergeCell ref="B47:F47"/>
    <mergeCell ref="A8:G8"/>
    <mergeCell ref="A22:G22"/>
    <mergeCell ref="B17:G17"/>
    <mergeCell ref="A4:G4"/>
    <mergeCell ref="A38:G38"/>
    <mergeCell ref="B31:F31"/>
    <mergeCell ref="B46:F46"/>
    <mergeCell ref="A29:G29"/>
    <mergeCell ref="A68:G68"/>
    <mergeCell ref="A10:G10"/>
    <mergeCell ref="A28:G28"/>
    <mergeCell ref="A13:G13"/>
    <mergeCell ref="B19:G19"/>
    <mergeCell ref="B43:F43"/>
    <mergeCell ref="A40:G40"/>
    <mergeCell ref="A67:G67"/>
    <mergeCell ref="A39:G39"/>
    <mergeCell ref="B42:F42"/>
    <mergeCell ref="A83:G83"/>
    <mergeCell ref="A24:G24"/>
    <mergeCell ref="A79:G81"/>
    <mergeCell ref="A73:G73"/>
    <mergeCell ref="A11:G11"/>
    <mergeCell ref="A49:G49"/>
    <mergeCell ref="B44:F44"/>
    <mergeCell ref="B20:G20"/>
    <mergeCell ref="A1:G1"/>
    <mergeCell ref="B34:F34"/>
    <mergeCell ref="B35:F35"/>
    <mergeCell ref="A78:G78"/>
    <mergeCell ref="A16:G16"/>
    <mergeCell ref="A7:G7"/>
    <mergeCell ref="B30:F30"/>
    <mergeCell ref="A27:G27"/>
    <mergeCell ref="A74:G76"/>
    <mergeCell ref="B33:F33"/>
    <mergeCell ref="A50:G50"/>
    <mergeCell ref="A2:G2"/>
    <mergeCell ref="B45:F45"/>
    <mergeCell ref="B18:G18"/>
    <mergeCell ref="B36:F36"/>
    <mergeCell ref="B32:F32"/>
    <mergeCell ref="B41:F41"/>
    <mergeCell ref="A5:G5"/>
    <mergeCell ref="A23:G23"/>
  </mergeCells>
  <conditionalFormatting sqref="G31">
    <cfRule type="expression" priority="1" dxfId="0">
      <formula>LEN(TRIM(G31))&gt;0</formula>
    </cfRule>
  </conditionalFormatting>
  <conditionalFormatting sqref="G32">
    <cfRule type="expression" priority="2" dxfId="0">
      <formula>LEN(TRIM(G32))&gt;0</formula>
    </cfRule>
  </conditionalFormatting>
  <conditionalFormatting sqref="G33">
    <cfRule type="expression" priority="3" dxfId="0">
      <formula>LEN(TRIM(G33))&gt;0</formula>
    </cfRule>
  </conditionalFormatting>
  <conditionalFormatting sqref="G34">
    <cfRule type="expression" priority="4" dxfId="0">
      <formula>LEN(TRIM(G34))&gt;0</formula>
    </cfRule>
  </conditionalFormatting>
  <conditionalFormatting sqref="G35">
    <cfRule type="expression" priority="5" dxfId="0">
      <formula>LEN(TRIM(G35))&gt;0</formula>
    </cfRule>
  </conditionalFormatting>
  <conditionalFormatting sqref="G36">
    <cfRule type="expression" priority="6" dxfId="0">
      <formula>LEN(TRIM(G36))&gt;0</formula>
    </cfRule>
  </conditionalFormatting>
  <conditionalFormatting sqref="G42">
    <cfRule type="expression" priority="7" dxfId="0">
      <formula>LEN(TRIM(G42))&gt;0</formula>
    </cfRule>
  </conditionalFormatting>
  <conditionalFormatting sqref="G43">
    <cfRule type="expression" priority="8" dxfId="0">
      <formula>LEN(TRIM(G43))&gt;0</formula>
    </cfRule>
  </conditionalFormatting>
  <conditionalFormatting sqref="G44">
    <cfRule type="expression" priority="9" dxfId="0">
      <formula>LEN(TRIM(G44))&gt;0</formula>
    </cfRule>
  </conditionalFormatting>
  <conditionalFormatting sqref="G45">
    <cfRule type="expression" priority="10" dxfId="0">
      <formula>LEN(TRIM(G45))&gt;0</formula>
    </cfRule>
  </conditionalFormatting>
  <conditionalFormatting sqref="G46">
    <cfRule type="expression" priority="11" dxfId="0">
      <formula>LEN(TRIM(G46))&gt;0</formula>
    </cfRule>
  </conditionalFormatting>
  <conditionalFormatting sqref="G47">
    <cfRule type="expression" priority="12" dxfId="0">
      <formula>LEN(TRIM(G47))&gt;0</formula>
    </cfRule>
  </conditionalFormatting>
  <conditionalFormatting sqref="B53:G53">
    <cfRule type="expression" priority="13" dxfId="0">
      <formula>LEN(TRIM(B53))&gt;0</formula>
    </cfRule>
  </conditionalFormatting>
  <conditionalFormatting sqref="B55:G55">
    <cfRule type="expression" priority="14" dxfId="0">
      <formula>LEN(TRIM(B55))&gt;0</formula>
    </cfRule>
  </conditionalFormatting>
  <conditionalFormatting sqref="B57:G57">
    <cfRule type="expression" priority="15" dxfId="0">
      <formula>LEN(TRIM(B57))&gt;0</formula>
    </cfRule>
  </conditionalFormatting>
  <conditionalFormatting sqref="B59:G59">
    <cfRule type="expression" priority="16" dxfId="0">
      <formula>LEN(TRIM(B59))&gt;0</formula>
    </cfRule>
  </conditionalFormatting>
  <conditionalFormatting sqref="B61:G61">
    <cfRule type="expression" priority="17" dxfId="0">
      <formula>LEN(TRIM(B61))&gt;0</formula>
    </cfRule>
  </conditionalFormatting>
  <conditionalFormatting sqref="B63:G63">
    <cfRule type="expression" priority="18" dxfId="0">
      <formula>LEN(TRIM(B63))&gt;0</formula>
    </cfRule>
  </conditionalFormatting>
  <conditionalFormatting sqref="B65:G65">
    <cfRule type="expression" priority="19" dxfId="0">
      <formula>LEN(TRIM(B65))&gt;0</formula>
    </cfRule>
  </conditionalFormatting>
  <conditionalFormatting sqref="B70:G70">
    <cfRule type="expression" priority="20" dxfId="0">
      <formula>LEN(TRIM(B70))&gt;0</formula>
    </cfRule>
  </conditionalFormatting>
  <conditionalFormatting sqref="B71:G71">
    <cfRule type="expression" priority="21" dxfId="0">
      <formula>LEN(TRIM(B71))&gt;0</formula>
    </cfRule>
  </conditionalFormatting>
  <dataValidations count="2">
    <dataValidation sqref="B53 B55 B57 B59 B61 B63 B65 C53 C55 C57 C59 C61 C63 C65 D53 D55 D57 D59 D61 D63 D65 E53 E55 E57 E59 E61 E63 E65 F53 F55 F57 F59 F61 F63 F65 G53 G55 G57 G59 G61 G63 G65" showDropDown="0" showInputMessage="0" showErrorMessage="0" allowBlank="1" type="list">
      <formula1>"áno,čiastočne,nie,neviem"</formula1>
    </dataValidation>
    <dataValidation sqref="B70 B71 C70 C71 D70 D71 E70 E71 F70 F71 G31 G32 G33 G34 G35 G36 G42 G43 G44 G45 G46 G47 G70 G71" showDropDown="0" showInputMessage="0" showErrorMessage="0" allowBlank="1" errorTitle="Neplatná hodnota" error="Zadajte celé číslo od 1 do 10." type="whole" operator="between">
      <formula1>1</formula1>
      <formula2>10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2026-05-08T22:16:32Z</dcterms:created>
  <dcterms:modified xsi:type="dcterms:W3CDTF">2026-05-08T22:16:32Z</dcterms:modified>
</cp:coreProperties>
</file>