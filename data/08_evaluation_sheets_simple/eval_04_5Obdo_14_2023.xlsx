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ácia" sheetId="1" state="visible" r:id="rId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sz val="14"/>
    </font>
    <font>
      <i val="1"/>
      <color rgb="00595959"/>
      <sz val="10"/>
    </font>
    <font>
      <b val="1"/>
      <color rgb="00FFFFFF"/>
      <sz val="11"/>
    </font>
    <font>
      <color rgb="00333333"/>
      <sz val="10"/>
    </font>
    <font>
      <b val="1"/>
      <color rgb="001F4E79"/>
      <sz val="10"/>
    </font>
    <font>
      <color rgb="00404040"/>
      <sz val="10"/>
    </font>
    <font>
      <b val="1"/>
      <i val="1"/>
      <color rgb="001F4E79"/>
      <sz val="10"/>
    </font>
    <font>
      <b val="1"/>
      <color rgb="00FFFFFF"/>
      <sz val="12"/>
    </font>
    <font>
      <i val="1"/>
      <color rgb="00404040"/>
      <sz val="10"/>
    </font>
    <font>
      <b val="1"/>
      <color rgb="00FFFFFF"/>
      <sz val="10"/>
    </font>
    <font>
      <color rgb="00595959"/>
      <sz val="10"/>
    </font>
    <font>
      <b val="1"/>
      <color rgb="001F4E79"/>
      <sz val="12"/>
    </font>
    <font>
      <b val="1"/>
      <sz val="11"/>
    </font>
    <font>
      <b val="1"/>
      <i val="1"/>
      <color rgb="001F4E79"/>
      <sz val="11"/>
    </font>
  </fonts>
  <fills count="11">
    <fill>
      <patternFill/>
    </fill>
    <fill>
      <patternFill patternType="gray125"/>
    </fill>
    <fill>
      <patternFill patternType="solid">
        <fgColor rgb="001F4E79"/>
        <bgColor rgb="001F4E79"/>
      </patternFill>
    </fill>
    <fill>
      <patternFill patternType="solid">
        <fgColor rgb="00F2F2F2"/>
        <bgColor rgb="00F2F2F2"/>
      </patternFill>
    </fill>
    <fill>
      <patternFill patternType="solid">
        <fgColor rgb="00FFFFFF"/>
        <bgColor rgb="00FFFFFF"/>
      </patternFill>
    </fill>
    <fill>
      <patternFill patternType="solid">
        <fgColor rgb="00FFF2CC"/>
        <bgColor rgb="00FFF2CC"/>
      </patternFill>
    </fill>
    <fill>
      <patternFill patternType="solid">
        <fgColor rgb="00C6EFCE"/>
        <bgColor rgb="00C6EFCE"/>
      </patternFill>
    </fill>
    <fill>
      <patternFill patternType="solid">
        <fgColor rgb="002E75B6"/>
        <bgColor rgb="002E75B6"/>
      </patternFill>
    </fill>
    <fill>
      <patternFill patternType="solid">
        <fgColor rgb="00F7F9FC"/>
        <bgColor rgb="00F7F9FC"/>
      </patternFill>
    </fill>
    <fill>
      <patternFill patternType="solid">
        <fgColor rgb="00DEEBF7"/>
        <bgColor rgb="00DEEBF7"/>
      </patternFill>
    </fill>
    <fill>
      <patternFill patternType="solid">
        <fgColor rgb="005B9BD5"/>
        <bgColor rgb="005B9BD5"/>
      </patternFill>
    </fill>
  </fills>
  <borders count="3">
    <border>
      <left/>
      <right/>
      <top/>
      <bottom/>
      <diagonal/>
    </border>
    <border>
      <left style="thin">
        <color rgb="00BFBFBF"/>
      </left>
      <right style="thin">
        <color rgb="00BFBFBF"/>
      </right>
      <top style="thin">
        <color rgb="00BFBFBF"/>
      </top>
      <bottom style="thin">
        <color rgb="00BFBFBF"/>
      </bottom>
    </border>
    <border>
      <left style="medium">
        <color rgb="002E75B6"/>
      </left>
      <right style="medium">
        <color rgb="002E75B6"/>
      </right>
      <top style="medium">
        <color rgb="002E75B6"/>
      </top>
      <bottom style="medium">
        <color rgb="002E75B6"/>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3" fillId="2" borderId="0" applyAlignment="1" pivotButton="0" quotePrefix="0" xfId="0">
      <alignment horizontal="left" vertical="center" indent="1"/>
    </xf>
    <xf numFmtId="0" fontId="4" fillId="0" borderId="0" applyAlignment="1" pivotButton="0" quotePrefix="0" xfId="0">
      <alignment horizontal="left" vertical="top" wrapText="1" indent="1"/>
    </xf>
    <xf numFmtId="0" fontId="5" fillId="0" borderId="0" applyAlignment="1" pivotButton="0" quotePrefix="0" xfId="0">
      <alignment horizontal="left" vertical="center" indent="1"/>
    </xf>
    <xf numFmtId="0" fontId="5" fillId="3" borderId="1" applyAlignment="1" pivotButton="0" quotePrefix="0" xfId="0">
      <alignment horizontal="center" vertical="center" wrapText="1"/>
    </xf>
    <xf numFmtId="0" fontId="6" fillId="0" borderId="1" applyAlignment="1" pivotButton="0" quotePrefix="0" xfId="0">
      <alignment horizontal="left" vertical="center" wrapText="1" inden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7" fillId="0" borderId="0" applyAlignment="1" pivotButton="0" quotePrefix="0" xfId="0">
      <alignment horizontal="left" indent="1"/>
    </xf>
    <xf numFmtId="0" fontId="6" fillId="0" borderId="0" applyAlignment="1" pivotButton="0" quotePrefix="0" xfId="0">
      <alignment horizontal="left" vertical="top" wrapText="1" indent="2"/>
    </xf>
    <xf numFmtId="0" fontId="8" fillId="7" borderId="0" applyAlignment="1" pivotButton="0" quotePrefix="0" xfId="0">
      <alignment horizontal="center" vertical="center" wrapText="1"/>
    </xf>
    <xf numFmtId="0" fontId="9" fillId="8" borderId="0" applyAlignment="1" pivotButton="0" quotePrefix="0" xfId="0">
      <alignment horizontal="left" vertical="center" wrapText="1" indent="1"/>
    </xf>
    <xf numFmtId="0" fontId="7" fillId="9" borderId="0" applyAlignment="1" pivotButton="0" quotePrefix="0" xfId="0">
      <alignment horizontal="left" vertical="center" wrapText="1" indent="1"/>
    </xf>
    <xf numFmtId="0" fontId="10" fillId="10" borderId="1" applyAlignment="1" pivotButton="0" quotePrefix="0" xfId="0">
      <alignment horizontal="center" vertical="center" wrapText="1"/>
    </xf>
    <xf numFmtId="0" fontId="5" fillId="3" borderId="1" applyAlignment="1" pivotButton="0" quotePrefix="0" xfId="0">
      <alignment horizontal="center" vertical="center"/>
    </xf>
    <xf numFmtId="0" fontId="11" fillId="3" borderId="1" applyAlignment="1" pivotButton="0" quotePrefix="0" xfId="0">
      <alignment horizontal="left" vertical="top" wrapText="1"/>
    </xf>
    <xf numFmtId="0" fontId="12" fillId="4" borderId="2" applyAlignment="1" pivotButton="0" quotePrefix="0" xfId="0">
      <alignment horizontal="center" vertical="center" wrapText="1"/>
    </xf>
    <xf numFmtId="0" fontId="2" fillId="3" borderId="1" applyAlignment="1" pivotButton="0" quotePrefix="0" xfId="0">
      <alignment horizontal="left" vertical="center" wrapText="1" indent="1"/>
    </xf>
    <xf numFmtId="0" fontId="5" fillId="4" borderId="1" applyAlignment="1" pivotButton="0" quotePrefix="0" xfId="0">
      <alignment horizontal="left" vertical="center" wrapText="1" indent="1"/>
    </xf>
    <xf numFmtId="0" fontId="13" fillId="4" borderId="2" applyAlignment="1" pivotButton="0" quotePrefix="0" xfId="0">
      <alignment horizontal="center" vertical="center" wrapText="1"/>
    </xf>
    <xf numFmtId="0" fontId="13" fillId="5" borderId="2" applyAlignment="1" pivotButton="0" quotePrefix="0" xfId="0">
      <alignment horizontal="center" vertical="center" wrapText="1"/>
    </xf>
    <xf numFmtId="0" fontId="10" fillId="7" borderId="0" applyAlignment="1" pivotButton="0" quotePrefix="0" xfId="0">
      <alignment horizontal="left" vertical="center" indent="1"/>
    </xf>
    <xf numFmtId="0" fontId="0" fillId="4" borderId="2" applyAlignment="1" pivotButton="0" quotePrefix="0" xfId="0">
      <alignment horizontal="left" vertical="top" wrapText="1"/>
    </xf>
    <xf numFmtId="0" fontId="14" fillId="0" borderId="0" applyAlignment="1" pivotButton="0" quotePrefix="0" xfId="0">
      <alignment horizontal="center" vertical="center"/>
    </xf>
  </cellXfs>
  <cellStyles count="1">
    <cellStyle name="Normal" xfId="0" builtinId="0" hidden="0"/>
  </cellStyles>
  <dxfs count="1">
    <dxf>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cols>
    <col width="55" customWidth="1" min="1" max="1"/>
    <col width="21" customWidth="1" min="2" max="2"/>
    <col width="21" customWidth="1" min="3" max="3"/>
    <col width="21" customWidth="1" min="4" max="4"/>
    <col width="21" customWidth="1" min="5" max="5"/>
    <col width="21" customWidth="1" min="6" max="6"/>
    <col width="21" customWidth="1" min="7" max="7"/>
  </cols>
  <sheetData>
    <row r="1" ht="32" customHeight="1">
      <c r="A1" s="1" t="inlineStr">
        <is>
          <t>EVALUÁCIA EXTRAKCIE — 5Obdo/14/2023</t>
        </is>
      </c>
    </row>
    <row r="2" ht="18" customHeight="1">
      <c r="A2" s="2" t="inlineStr">
        <is>
          <t>Dokument: NS_SR_5Obdo_14_2023_00_dokument</t>
        </is>
      </c>
    </row>
    <row r="4" ht="22" customHeight="1">
      <c r="A4" s="3" t="inlineStr">
        <is>
          <t>ČO JE TÁTO EVALUÁCIA</t>
        </is>
      </c>
    </row>
    <row r="5" ht="40" customHeight="1">
      <c r="A5" s="4" t="inlineStr">
        <is>
          <t>Hodnotíte presnosť automatizovanej extrakcie informácií o zmluvných pokutách zo súdnych rozhodnutí. Pre toto jedno konkrétne rozhodnutie porovnávate 6 výstupov (3 modely × 2 režimy) a posudzujete, ako presne každý z nich zachytil kľúčové informácie.</t>
        </is>
      </c>
    </row>
    <row r="6" ht="6" customHeight="1"/>
    <row r="7" ht="18" customHeight="1">
      <c r="A7" s="5" t="inlineStr">
        <is>
          <t>PREČO TO ROBÍME</t>
        </is>
      </c>
    </row>
    <row r="8" ht="108" customHeight="1">
      <c r="A8" s="4" t="inlineStr">
        <is>
          <t>Predstavte si typický deň v advokátskej kancelárii: klient si objedná zmluvu o dielo a opýta sa vás, akú zmluvnú pokutu stanoviť. Aby ste mu vedeli kvalifikovane poradiť, potrebujete vedieť, ako súdy v praxi rozhodujú — ktoré pokuty akceptujú a ktoré moderujú podľa § 301 Obchodného zákonníka. Dnes to znamená preštudovať desiatky rozhodnutí ručne. Náš nástroj to dokáže automaticky zo stoviek rozhodnutí za sekundy, čím advokátom poskytne presné štatistiky o rozhodovacej praxi. Táto extrakcia je medziprodukt k širšiemu systému vyhľadávania precedensov a navrhovania primeranej výšky pokút pri tvorbe nových zmlúv — práve preto musí byť absolútne presná a bez halucinácií, inak by odporúčania pre advokátov boli nesprávne.</t>
        </is>
      </c>
    </row>
    <row r="9" ht="6" customHeight="1"/>
    <row r="10" ht="18" customHeight="1">
      <c r="A10" s="5" t="inlineStr">
        <is>
          <t>ČO TESTUJEME</t>
        </is>
      </c>
    </row>
    <row r="11" ht="57" customHeight="1">
      <c r="A11" s="4" t="inlineStr">
        <is>
          <t>3 jazykové modely (GPT-4o od OpenAI, Gemini 2.5 Flash od Google, Qwen 3.5 397B open-source) v 2 režimoch — RAG (model dostane iba cielene vybrané pasáže rozhodnutia cez retrieval) a Full (model dostane celý text rozhodnutia). Stĺpce v tabuľkách sú označené priamo názvami modelov, takže viete čo hodnotíte.</t>
        </is>
      </c>
    </row>
    <row r="12" ht="6" customHeight="1"/>
    <row r="13" ht="18" customHeight="1">
      <c r="A13" s="5" t="inlineStr">
        <is>
          <t>VAŠA ÚLOHA</t>
        </is>
      </c>
    </row>
    <row r="14" ht="57" customHeight="1">
      <c r="A14" s="4" t="inlineStr">
        <is>
          <t>Pre každú otázku posúďte, ako dobre daný systém zachytil daný údaj oproti skutočnosti v PDF rozhodnutí, ktoré ste dostali k tejto evaluácii. Najviac nás zaujímajú HALUCINÁCIE — informácie, ktoré systém uviedol, ale v texte rozhodnutia sa vôbec nenachádzajú. Vaše hodnotenie pomôže určiť, ktorý model je najspoľahlivejší pre právnu prax. Odhadovaný čas: ~15 minút.</t>
        </is>
      </c>
    </row>
    <row r="16" ht="22" customHeight="1">
      <c r="A16" s="3" t="inlineStr">
        <is>
          <t>LEGENDA</t>
        </is>
      </c>
    </row>
    <row r="17" ht="22" customHeight="1">
      <c r="A17" s="6" t="inlineStr">
        <is>
          <t>SIVÝ RIADOK</t>
        </is>
      </c>
      <c r="B17" s="7" t="inlineStr">
        <is>
          <t>čo systémy extrahovali (iba na čítanie — referencia)</t>
        </is>
      </c>
    </row>
    <row r="18" ht="22" customHeight="1">
      <c r="A18" s="8" t="inlineStr">
        <is>
          <t>BIELY RIADOK s modrým rámom</t>
        </is>
      </c>
      <c r="B18" s="7" t="inlineStr">
        <is>
          <t>tu vyplňte svoje hodnotenie (dropdown)</t>
        </is>
      </c>
    </row>
    <row r="19" ht="22" customHeight="1">
      <c r="A19" s="9" t="inlineStr">
        <is>
          <t>SVETLOŽLTÁ BUNKA</t>
        </is>
      </c>
      <c r="B19" s="7" t="inlineStr">
        <is>
          <t>automaticky prepojená — vyplnením jednej sa vyplnia aj ostatné s rovnakou extrakciou</t>
        </is>
      </c>
    </row>
    <row r="20" ht="22" customHeight="1">
      <c r="A20" s="10" t="inlineStr">
        <is>
          <t>SVETLOZELENÁ BUNKA</t>
        </is>
      </c>
      <c r="B20" s="7" t="inlineStr">
        <is>
          <t>už vyplnené (zmení sa automaticky po zadaní hodnoty)</t>
        </is>
      </c>
    </row>
    <row r="22" ht="20" customHeight="1">
      <c r="A22" s="11" t="inlineStr">
        <is>
          <t>TYPY DROPDOWN-u a ČO ZNAMENAJÚ HODNOTY</t>
        </is>
      </c>
    </row>
    <row r="23" ht="36" customHeight="1">
      <c r="A23" s="12" t="inlineStr">
        <is>
          <t>Škála 1-10 — pre zhrnutie sporu a celkové hodnotenie (halucinácie, celkový dojem).  1 = nepoužiteľné / vymyslené, 10 = presné a spoľahlivé.</t>
        </is>
      </c>
    </row>
    <row r="24" ht="36" customHeight="1">
      <c r="A24" s="12" t="inlineStr">
        <is>
          <t>áno / čiastočne / nie / neviem — pre FAKTORY primeranosti.  Znamená: zodpovedá hodnotenie faktora systémom tomu, čo reálne povedal súd v texte rozhodnutia?  „neviem" zvoľte, ak neviete jednoznačne posúdiť.</t>
        </is>
      </c>
    </row>
    <row r="27" ht="22" customHeight="1">
      <c r="A27" s="13" t="inlineStr">
        <is>
          <t>═══ SEKCIA 1 — KONTEXT SPORU ═══</t>
        </is>
      </c>
    </row>
    <row r="28" ht="40" customHeight="1">
      <c r="A28" s="14" t="inlineStr">
        <is>
          <t>Základný kontext: o čom je celý spor (textové zhrnutie), aký typ zmluvy je predmetom a kto sú strany. Začíname textovým zhrnutím, lebo je to najlepší spôsob, ako rýchlo pochopiť, o čo v spore ide.</t>
        </is>
      </c>
    </row>
    <row r="29" ht="22" customHeight="1">
      <c r="A29" s="15" t="inlineStr">
        <is>
          <t>1.1 ZHRNUTIE SPORU — vystihuje systém podstatu sporu a čo žalobca požadoval? (1-10)</t>
        </is>
      </c>
    </row>
    <row r="30" ht="22" customHeight="1">
      <c r="A30" s="16" t="inlineStr">
        <is>
          <t>Systém</t>
        </is>
      </c>
      <c r="B30" s="16" t="inlineStr">
        <is>
          <t>Text extrakcie</t>
        </is>
      </c>
      <c r="G30" s="16" t="inlineStr">
        <is>
          <t>Skóre 1-10</t>
        </is>
      </c>
    </row>
    <row r="31" ht="59" customHeight="1">
      <c r="A31" s="17" t="inlineStr">
        <is>
          <t>GPT-4o RAG</t>
        </is>
      </c>
      <c r="B31" s="18" t="inlineStr">
        <is>
          <t>Žalobca METALFIN, s. r. o. požadoval zaplatenie zmluvnej pokuty vo výške 500 000 Eur za nedodanie tovaru podľa kúpnej zmluvy č. 2001-04-01. Tvrdil, že žalovaný Carmeuse Slovakia, s.r.o. porušil zmluvné povinnosti tým, že prestal dodávať tovar a dodával ho iným subjektom na územie Maďarska.</t>
        </is>
      </c>
      <c r="G31" s="19" t="n"/>
    </row>
    <row r="32" ht="59" customHeight="1">
      <c r="A32" s="17" t="inlineStr">
        <is>
          <t>GPT-4o Full</t>
        </is>
      </c>
      <c r="B32" s="18" t="inlineStr">
        <is>
          <t>Žalobca METALFIN, s. r. o. požadoval od žalovaného Carmeuse Slovakia, s.r.o. zaplatenie zmluvnej pokuty vo výške 500 000 Eur za porušenie kúpnej zmluvy, konkrétne za nedodanie tovaru a dodanie tovaru inej osobe na územie Maďarska.</t>
        </is>
      </c>
      <c r="G32" s="19" t="n"/>
    </row>
    <row r="33" ht="76" customHeight="1">
      <c r="A33" s="17" t="inlineStr">
        <is>
          <t>Gemini RAG</t>
        </is>
      </c>
      <c r="B33" s="18" t="inlineStr">
        <is>
          <t>Žalobca si uplatňoval nárok na zaplatenie zmluvnej pokuty vo výške 500 000 Eur z kúpnej zmluvy, v zmysle ktorej sa žalovaný zaviazal nedodávať tovar na územie Maďarskej republiky inej osobe než žalobcovi a dodávať objednaný tovar do 14 dní. Žalobca tvrdil, že žalovaný porušil tieto povinnosti, keď prestal dodávať tovar a dodával ho iným subjektom.</t>
        </is>
      </c>
      <c r="G33" s="19" t="n"/>
    </row>
    <row r="34" ht="59" customHeight="1">
      <c r="A34" s="17" t="inlineStr">
        <is>
          <t>Gemini Full</t>
        </is>
      </c>
      <c r="B34" s="18" t="inlineStr">
        <is>
          <t>Žalobca sa domáhal zaplatenia zmluvnej pokuty vo výške 500 000 Eur s príslušenstvom od žalovaného na základe kúpnej zmluvy, pričom tvrdil porušenie povinnosti žalovaného dodávať tovar a nedodávať ho iným subjektom na území Maďarska.</t>
        </is>
      </c>
      <c r="G34" s="19" t="n"/>
    </row>
    <row r="35" ht="59" customHeight="1">
      <c r="A35" s="17" t="inlineStr">
        <is>
          <t>Qwen 3.5 RAG</t>
        </is>
      </c>
      <c r="B35" s="18" t="inlineStr">
        <is>
          <t>Žalobca sa domáhal zaplatenia zmluvnej pokuty vo výške 500 000 EUR za nedodanie tovaru a za dodanie tovaru inej osobe na území Maďarska podľa kúpnej zmluvy. Odvolací súd žalobu zamietol pre neplatnosť dohody o pokute a nepreukázanie porušenia povinností.</t>
        </is>
      </c>
      <c r="G35" s="19" t="n"/>
    </row>
    <row r="36" ht="59" customHeight="1">
      <c r="A36" s="17" t="inlineStr">
        <is>
          <t>Qwen 3.5 Full</t>
        </is>
      </c>
      <c r="B36" s="18" t="inlineStr">
        <is>
          <t>Žalobca sa domáhal zaplatenia zmluvnej pokuty vo výške 500 000 EUR od žalovaného pre porušenie kúpnej zmluvy, konkrétne nedodanie tovaru v lehote 14 dní od objednávky a dodávanie tovaru tretím osobám na území Maďarska. Žalovaný namietal neexistenciu písomnej objednávky a neprimeranosť výšky pokuty.</t>
        </is>
      </c>
      <c r="G36" s="19" t="n"/>
    </row>
    <row r="38" ht="22" customHeight="1">
      <c r="A38" s="13" t="inlineStr">
        <is>
          <t>═══ SEKCIA 2 — ODÔVODNENIE SÚDU ═══</t>
        </is>
      </c>
    </row>
    <row r="39" ht="40" customHeight="1">
      <c r="A39" s="14" t="inlineStr">
        <is>
          <t>Textové zhrnutie odôvodnenia súdu — prečo súd rozhodol tak ako rozhodol. Posúďte, ako dobre systém zachytil kľúčové argumenty súdu v porovnaní s PDF rozhodnutím. Práve tu modely často halucinujú falošné závery alebo vynechajú kľúčové pasáže.</t>
        </is>
      </c>
    </row>
    <row r="40" ht="22" customHeight="1">
      <c r="A40" s="15" t="inlineStr">
        <is>
          <t>2.1 ZHRNUTIE ODÔVODNENIA SÚDU — zachytáva systém kľúčové argumenty, prečo súd rozhodol tak ako rozhodol? (1-10)</t>
        </is>
      </c>
    </row>
    <row r="41" ht="22" customHeight="1">
      <c r="A41" s="16" t="inlineStr">
        <is>
          <t>Systém</t>
        </is>
      </c>
      <c r="B41" s="16" t="inlineStr">
        <is>
          <t>Text extrakcie</t>
        </is>
      </c>
      <c r="G41" s="16" t="inlineStr">
        <is>
          <t>Skóre 1-10</t>
        </is>
      </c>
    </row>
    <row r="42" ht="76" customHeight="1">
      <c r="A42" s="17" t="inlineStr">
        <is>
          <t>GPT-4o RAG</t>
        </is>
      </c>
      <c r="B42" s="18" t="inlineStr">
        <is>
          <t>Odvolací súd rozhodol, že dohoda o zmluvnej pokute je absolútne neplatná podľa § 39 Občianskeho zákonníka z dôvodu neprimeranej výšky pokuty. Súd konštatoval, že hodnota pohľadávky zabezpečovaná pokutou bola v príkrom rozpore s výškou dohodnutej pokuty. Najvyššia hodnota objednávky bola len 4 677,57 Eur, čo je výrazne menej ako 500 000 Eur pokuty.</t>
        </is>
      </c>
      <c r="G42" s="19" t="n"/>
    </row>
    <row r="43" ht="59" customHeight="1">
      <c r="A43" s="17" t="inlineStr">
        <is>
          <t>GPT-4o Full</t>
        </is>
      </c>
      <c r="B43" s="18" t="inlineStr">
        <is>
          <t>Odvolací súd zistil, že žalobca nepreukázal písomnú objednávku tovaru, čo znamenalo, že žalovaný nemohol byť v omeškaní s dodaním tovaru. Taktiež konštatoval, že zmluvná pokuta bola neprimerane vysoká vzhľadom na hodnotu jednotlivých dodávok tovaru. Preto žalobu zamietol.</t>
        </is>
      </c>
      <c r="G43" s="19" t="n"/>
    </row>
    <row r="44" ht="127" customHeight="1">
      <c r="A44" s="17" t="inlineStr">
        <is>
          <t>Gemini RAG</t>
        </is>
      </c>
      <c r="B44" s="18" t="inlineStr">
        <is>
          <t>Odvolací súd zamietol žalobu v celom rozsahu, pretože dospel k záveru, že dohoda o zmluvnej pokute je absolútne neplatným právnym úkonom podľa § 39 Občianskeho zákonníka z dôvodu neprimeranosti jej výšky. Konkrétne, zmluvná pokuta vo výške 500 000 Eur bola považovaná za neprimerane vysokú vzhľadom na to, že by vznikla za omeškanie s akoukoľvek dodávkou tovaru, bez ohľadu na predmet konkrétnej objednávky, pričom najvyššia hodnota objednávky v roku 2001 bola len 4 677,57 Eur. Dovolací súd potvrdil záver odvolacieho súdu o neplatnosti dojednania o zmluvnej pokute, hoci zároveň kritizoval nedostatočné odôvodnenie odvolacieho súdu v otázkach posudzovania primeranosti zmluvnej pokuty a neporušenia zmluvy.</t>
        </is>
      </c>
      <c r="G44" s="19" t="n"/>
    </row>
    <row r="45" ht="76" customHeight="1">
      <c r="A45" s="17" t="inlineStr">
        <is>
          <t>Gemini Full</t>
        </is>
      </c>
      <c r="B45" s="18" t="inlineStr">
        <is>
          <t>Odvolací súd zamietol žalobu, pretože žalobca nepreukázal porušenie povinností žalovaného podľa kúpnej zmluvy, konkrétne nepredložil písomnú objednávku tovaru, ktorá bola podmienkou pre vznik povinnosti dodávky. Taktiež nepreukázal porušenie povinnosti nedodávať tovar iným subjektom do Maďarska. Odvolací súd tiež konštatoval absolútnu neplatnosť dojednania o zmluvnej pokute pre jej neprimeranú výšku.</t>
        </is>
      </c>
      <c r="G45" s="19" t="n"/>
    </row>
    <row r="46" ht="110" customHeight="1">
      <c r="A46" s="17" t="inlineStr">
        <is>
          <t>Qwen 3.5 RAG</t>
        </is>
      </c>
      <c r="B46" s="18" t="inlineStr">
        <is>
          <t>Odvolací súd konštatoval, že dohoda o zmluvnej pokute je absolútne neplatným právnym úkonom podľa § 39 Občianskeho zákonníka z dôvodu neprimeranosti výšky pokuty v pomere k hodnote zabezpečovanej pohľadávky. Súd zdôraznil, že pokuta vo výške 500 000 EUR mala byť splatná aj za omeškanie s jednotlivou objednávkou, pričom najvyššia hodnota objednávky v roku 2001 bola len 4 677,57 EUR, čo predstavuje zjavný nepomer. Takáto dohoda bola považovaná za rozpor s dobrými mravmi, keďže by viedla k neodôvodnenému majetkovému prospechu veriteľa a predstavovala by neprimerane prísnu sankciu.</t>
        </is>
      </c>
      <c r="G46" s="19" t="n"/>
    </row>
    <row r="47" ht="93" customHeight="1">
      <c r="A47" s="17" t="inlineStr">
        <is>
          <t>Qwen 3.5 Full</t>
        </is>
      </c>
      <c r="B47" s="18" t="inlineStr">
        <is>
          <t>Odvolací súd dospel k záveru, že dojednanie o zmluvnej pokute je absolútne neplatné podľa § 39 Občianskeho zákonníka pre rozpor s dobrými mravmi, keďže výška pokuty (500 000 EUR) je v príkrom rozpore s hodnotou zabezpečovanej pohľadávky (jednotlivé dodávky, najvyššia objednávka bola 4 677,57 EUR). Súd zároveň konštatoval, že žalobca nepreukázal vznik nároku na pokutu, keďže nepredložil písomnú objednávku tovaru podľa zmluvy, a teda nemohlo dôjsť k omeškaniu žalovaného.</t>
        </is>
      </c>
      <c r="G47" s="19" t="n"/>
    </row>
    <row r="49" ht="22" customHeight="1">
      <c r="A49" s="13" t="inlineStr">
        <is>
          <t>═══ SEKCIA 3 — FAKTORY PRIMERANOSTI PODĽA § 301 OBCHZ ═══</t>
        </is>
      </c>
    </row>
    <row r="50" ht="88" customHeight="1">
      <c r="A50" s="14" t="inlineStr">
        <is>
          <t>Pri moderácii zmluvnej pokuty súd váži viaceré faktory. Pre každý zo 7 faktorov systém priradil postoj súdu podľa toho, ako ho súd v odôvodnení hodnotil: POZITÍVNY (súd faktor hodnotí v prospech ZACHOVANIA pokuty), NEGATÍVNY (v prospech ZNÍŽENIA pokuty), NEUTRÁLNY (spomenutý bez jasného postoja), NESPOMÍNANÉ (súd sa tým vôbec nezaoberal). Vašou úlohou je pre každý faktor posúdiť, či tento postoj zodpovedá tomu, čo súd v texte rozhodnutia reálne povedal. Detailné vysvetlenie každého faktora a významu jednotlivých hodnôt nájdete v sivých riadkoch priamo pri otázkach.</t>
        </is>
      </c>
    </row>
    <row r="51" ht="22" customHeight="1">
      <c r="A51" s="16" t="inlineStr">
        <is>
          <t>Pole / Otázka</t>
        </is>
      </c>
      <c r="B51" s="16" t="inlineStr">
        <is>
          <t>GPT-4o RAG</t>
        </is>
      </c>
      <c r="C51" s="16" t="inlineStr">
        <is>
          <t>GPT-4o Full</t>
        </is>
      </c>
      <c r="D51" s="16" t="inlineStr">
        <is>
          <t>Gemini RAG</t>
        </is>
      </c>
      <c r="E51" s="16" t="inlineStr">
        <is>
          <t>Gemini Full</t>
        </is>
      </c>
      <c r="F51" s="16" t="inlineStr">
        <is>
          <t>Qwen 3.5 RAG</t>
        </is>
      </c>
      <c r="G51" s="16" t="inlineStr">
        <is>
          <t>Qwen 3.5 Full</t>
        </is>
      </c>
    </row>
    <row r="52" ht="90" customHeight="1">
      <c r="A52" s="20" t="inlineStr">
        <is>
          <t>DOBRÉ MRAVY (§ 39 OZ) — je pokuta v rozpore s dobrými mravmi?
  • pozitívny = súd rozhodol že NIE JE v rozpore (podporuje platnosť pokuty)
  • negatívny = súd ju vyhlásil za v rozpore (dôvod na moderáciu/zamietnutie)
  • neutrálny = súd faktor spomína bez jasného stanoviska
  • nespomínané = súd sa tým nezaoberal</t>
        </is>
      </c>
      <c r="B52" s="18" t="inlineStr">
        <is>
          <t>negatívny</t>
        </is>
      </c>
      <c r="C52" s="18" t="inlineStr">
        <is>
          <t>negatívny</t>
        </is>
      </c>
      <c r="D52" s="18" t="inlineStr">
        <is>
          <t>negatívny</t>
        </is>
      </c>
      <c r="E52" s="18" t="inlineStr">
        <is>
          <t>negatívny</t>
        </is>
      </c>
      <c r="F52" s="18" t="inlineStr">
        <is>
          <t>negatívny</t>
        </is>
      </c>
      <c r="G52" s="18" t="inlineStr">
        <is>
          <t>negatívny</t>
        </is>
      </c>
    </row>
    <row r="53" ht="36" customHeight="1">
      <c r="A53" s="21" t="inlineStr">
        <is>
          <t>3.1 Posúdil systém faktor „Dobré mravy" rovnako ako súd?</t>
        </is>
      </c>
      <c r="B53" s="22" t="n"/>
      <c r="C53" s="23">
        <f>IF(B53="","",B53)</f>
        <v/>
      </c>
      <c r="D53" s="23">
        <f>IF(B53="","",B53)</f>
        <v/>
      </c>
      <c r="E53" s="23">
        <f>IF(B53="","",B53)</f>
        <v/>
      </c>
      <c r="F53" s="23">
        <f>IF(B53="","",B53)</f>
        <v/>
      </c>
      <c r="G53" s="23">
        <f>IF(B53="","",B53)</f>
        <v/>
      </c>
    </row>
    <row r="54" ht="90" customHeight="1">
      <c r="A54" s="20" t="inlineStr">
        <is>
          <t>ZABEZPEČOVACIA FUNKCIA — plní pokuta svoj účel motivovať dlžníka k plneniu?
  • pozitívny = súd uznal, že pokuta plní zabezpečovaciu funkciu
  • negatívny = súd uviedol, že pokuta svoj účel neplnila
  • neutrálny = zmienka bez jasného stanoviska
  • nespomínané = faktor nebol diskutovaný</t>
        </is>
      </c>
      <c r="B54" s="18" t="inlineStr">
        <is>
          <t>negatívny</t>
        </is>
      </c>
      <c r="C54" s="18" t="inlineStr">
        <is>
          <t>neutrálny</t>
        </is>
      </c>
      <c r="D54" s="18" t="inlineStr">
        <is>
          <t>negatívny</t>
        </is>
      </c>
      <c r="E54" s="18" t="inlineStr">
        <is>
          <t>negatívny</t>
        </is>
      </c>
      <c r="F54" s="18" t="inlineStr">
        <is>
          <t>negatívny</t>
        </is>
      </c>
      <c r="G54" s="18" t="inlineStr">
        <is>
          <t>nespomínané</t>
        </is>
      </c>
    </row>
    <row r="55" ht="36" customHeight="1">
      <c r="A55" s="21" t="inlineStr">
        <is>
          <t>3.2 Posúdil systém faktor „Zabezpečovacia funkcia" rovnako ako súd?</t>
        </is>
      </c>
      <c r="B55" s="22" t="n"/>
      <c r="C55" s="22" t="n"/>
      <c r="D55" s="23">
        <f>IF(B55="","",B55)</f>
        <v/>
      </c>
      <c r="E55" s="23">
        <f>IF(B55="","",B55)</f>
        <v/>
      </c>
      <c r="F55" s="23">
        <f>IF(B55="","",B55)</f>
        <v/>
      </c>
      <c r="G55" s="22" t="n"/>
    </row>
    <row r="56" ht="90" customHeight="1">
      <c r="A56" s="20" t="inlineStr">
        <is>
          <t>VÝŠKA SKUTOČNEJ ŠKODY — pokrýva pokuta primerane reálnu škodu veriteľa?
  • pozitívny = súd uznal, že pokuta primerane pokrýva škodu
  • negatívny = súd konštatoval, že pokuta výrazne prevyšuje škodu (dôvod na moderáciu)
  • neutrálny = diskusia bez záveru
  • nespomínané = súd túto tému neotvoril</t>
        </is>
      </c>
      <c r="B56" s="18" t="inlineStr">
        <is>
          <t>neutrálny</t>
        </is>
      </c>
      <c r="C56" s="18" t="inlineStr">
        <is>
          <t>neutrálny</t>
        </is>
      </c>
      <c r="D56" s="18" t="inlineStr">
        <is>
          <t>negatívny</t>
        </is>
      </c>
      <c r="E56" s="18" t="inlineStr">
        <is>
          <t>negatívny</t>
        </is>
      </c>
      <c r="F56" s="18" t="inlineStr">
        <is>
          <t>negatívny</t>
        </is>
      </c>
      <c r="G56" s="18" t="inlineStr">
        <is>
          <t>negatívny</t>
        </is>
      </c>
    </row>
    <row r="57" ht="36" customHeight="1">
      <c r="A57" s="21" t="inlineStr">
        <is>
          <t>3.3 Posúdil systém faktor „Výška škody" rovnako ako súd?</t>
        </is>
      </c>
      <c r="B57" s="22" t="n"/>
      <c r="C57" s="23">
        <f>IF(B57="","",B57)</f>
        <v/>
      </c>
      <c r="D57" s="22" t="n"/>
      <c r="E57" s="23">
        <f>IF(D57="","",D57)</f>
        <v/>
      </c>
      <c r="F57" s="23">
        <f>IF(D57="","",D57)</f>
        <v/>
      </c>
      <c r="G57" s="23">
        <f>IF(D57="","",D57)</f>
        <v/>
      </c>
    </row>
    <row r="58" ht="90" customHeight="1">
      <c r="A58" s="20" t="inlineStr">
        <is>
          <t>POMER POKUTY K ISTINE — aký je pomer pokuty k dlžnej sume (napr. 48%, 150%, 300%)?
  • pozitívny = súd rozhodol, že pomer je primeraný (podporuje pokutu)
  • negatívny = súd považoval pomer za neprimerane vysoký (dôvod na moderáciu)
  • neutrálny = pomer spomenutý bez stanoviska
  • nespomínané = súd túto otázku neriešil</t>
        </is>
      </c>
      <c r="B58" s="18" t="inlineStr">
        <is>
          <t>negatívny</t>
        </is>
      </c>
      <c r="C58" s="18" t="inlineStr">
        <is>
          <t>negatívny</t>
        </is>
      </c>
      <c r="D58" s="18" t="inlineStr">
        <is>
          <t>negatívny</t>
        </is>
      </c>
      <c r="E58" s="18" t="inlineStr">
        <is>
          <t>negatívny</t>
        </is>
      </c>
      <c r="F58" s="18" t="inlineStr">
        <is>
          <t>negatívny</t>
        </is>
      </c>
      <c r="G58" s="18" t="inlineStr">
        <is>
          <t>negatívny</t>
        </is>
      </c>
    </row>
    <row r="59" ht="36" customHeight="1">
      <c r="A59" s="21" t="inlineStr">
        <is>
          <t>3.4 Posúdil systém faktor „Pomer k istine" rovnako ako súd?</t>
        </is>
      </c>
      <c r="B59" s="22" t="n"/>
      <c r="C59" s="23">
        <f>IF(B59="","",B59)</f>
        <v/>
      </c>
      <c r="D59" s="23">
        <f>IF(B59="","",B59)</f>
        <v/>
      </c>
      <c r="E59" s="23">
        <f>IF(B59="","",B59)</f>
        <v/>
      </c>
      <c r="F59" s="23">
        <f>IF(B59="","",B59)</f>
        <v/>
      </c>
      <c r="G59" s="23">
        <f>IF(B59="","",B59)</f>
        <v/>
      </c>
    </row>
    <row r="60" ht="106" customHeight="1">
      <c r="A60" s="20" t="inlineStr">
        <is>
          <t>SPRÁVANIE DLŽNÍKA — zavinenie, opakovanie, úmysel, ochota plniť
  POZOR: „pozitívny" a „negatívny" sa vzťahujú k PODPORE POKUTY, nie k sentimentu o dlžníkovi!
  • pozitívny = správanie dlžníka je DÔVODOM pre priznanie pokuty (opakované porušenia, úmysel)
  • negatívny = správanie dlžníka je ospravedlniteľné — dôvod na MODERÁCIU (ťažkosti mimo jeho kontroly)
  • neutrálny = diskusia bez jasného postoja
  • nespomínané = súd faktor neotvoril</t>
        </is>
      </c>
      <c r="B60" s="18" t="inlineStr">
        <is>
          <t>neutrálny</t>
        </is>
      </c>
      <c r="C60" s="18" t="inlineStr">
        <is>
          <t>neutrálny</t>
        </is>
      </c>
      <c r="D60" s="18" t="inlineStr">
        <is>
          <t>negatívny</t>
        </is>
      </c>
      <c r="E60" s="18" t="inlineStr">
        <is>
          <t>neutrálny</t>
        </is>
      </c>
      <c r="F60" s="18" t="inlineStr">
        <is>
          <t>nespomínané</t>
        </is>
      </c>
      <c r="G60" s="18" t="inlineStr">
        <is>
          <t>neutrálny</t>
        </is>
      </c>
    </row>
    <row r="61" ht="36" customHeight="1">
      <c r="A61" s="21" t="inlineStr">
        <is>
          <t>3.5 Posúdil systém faktor „Správanie dlžníka" rovnako ako súd?</t>
        </is>
      </c>
      <c r="B61" s="22" t="n"/>
      <c r="C61" s="23">
        <f>IF(B61="","",B61)</f>
        <v/>
      </c>
      <c r="D61" s="22" t="n"/>
      <c r="E61" s="23">
        <f>IF(B61="","",B61)</f>
        <v/>
      </c>
      <c r="F61" s="22" t="n"/>
      <c r="G61" s="23">
        <f>IF(B61="","",B61)</f>
        <v/>
      </c>
    </row>
    <row r="62" ht="90" customHeight="1">
      <c r="A62" s="20" t="inlineStr">
        <is>
          <t>KUMULÁCIA S ÚROKOM — je prijateľné sčítať zmluvnú pokutu a úrok z omeškania?
  • pozitívny = súd akceptoval kumuláciu pokuty a úroku
  • negatívny = súd považoval súčet za neprimeraný (dôvod na moderáciu)
  • neutrálny = kumulácia spomenutá bez stanoviska
  • nespomínané = súd faktor neriešil</t>
        </is>
      </c>
      <c r="B62" s="18" t="inlineStr">
        <is>
          <t>nespomínané</t>
        </is>
      </c>
      <c r="C62" s="18" t="inlineStr">
        <is>
          <t>nespomínané</t>
        </is>
      </c>
      <c r="D62" s="18" t="inlineStr">
        <is>
          <t>nespomínané</t>
        </is>
      </c>
      <c r="E62" s="18" t="inlineStr">
        <is>
          <t>nespomínané</t>
        </is>
      </c>
      <c r="F62" s="18" t="inlineStr">
        <is>
          <t>nespomínané</t>
        </is>
      </c>
      <c r="G62" s="18" t="inlineStr">
        <is>
          <t>nespomínané</t>
        </is>
      </c>
    </row>
    <row r="63" ht="36" customHeight="1">
      <c r="A63" s="21" t="inlineStr">
        <is>
          <t>3.6 Posúdil systém faktor „Kumulácia s úrokom" rovnako ako súd?</t>
        </is>
      </c>
      <c r="B63" s="22" t="n"/>
      <c r="C63" s="23">
        <f>IF(B63="","",B63)</f>
        <v/>
      </c>
      <c r="D63" s="23">
        <f>IF(B63="","",B63)</f>
        <v/>
      </c>
      <c r="E63" s="23">
        <f>IF(B63="","",B63)</f>
        <v/>
      </c>
      <c r="F63" s="23">
        <f>IF(B63="","",B63)</f>
        <v/>
      </c>
      <c r="G63" s="23">
        <f>IF(B63="","",B63)</f>
        <v/>
      </c>
    </row>
    <row r="64" ht="90" customHeight="1">
      <c r="A64" s="20" t="inlineStr">
        <is>
          <t>SPRÁVANIE VERITEĽA — konal žalobca v dobrej viere, alebo zneužíval svoju pozíciu?
  • pozitívny = veriteľ konal v dobrej viere, správne uplatnil nárok (podporuje pokutu)
  • negatívny = veriteľ konal účelovo (napr. zámerne čakal, aby nárok narástol) — dôvod na moderáciu
  • neutrálny = správanie diskutované bez záveru
  • nespomínané = súd faktor neotvoril</t>
        </is>
      </c>
      <c r="B64" s="18" t="inlineStr">
        <is>
          <t>neutrálny</t>
        </is>
      </c>
      <c r="C64" s="18" t="inlineStr">
        <is>
          <t>neutrálny</t>
        </is>
      </c>
      <c r="D64" s="18" t="inlineStr">
        <is>
          <t>nespomínané</t>
        </is>
      </c>
      <c r="E64" s="18" t="inlineStr">
        <is>
          <t>negatívny</t>
        </is>
      </c>
      <c r="F64" s="18" t="inlineStr">
        <is>
          <t>nespomínané</t>
        </is>
      </c>
      <c r="G64" s="18" t="inlineStr">
        <is>
          <t>negatívny</t>
        </is>
      </c>
    </row>
    <row r="65" ht="36" customHeight="1">
      <c r="A65" s="21" t="inlineStr">
        <is>
          <t>3.7 Posúdil systém faktor „Správanie veriteľa" rovnako ako súd?</t>
        </is>
      </c>
      <c r="B65" s="22" t="n"/>
      <c r="C65" s="23">
        <f>IF(B65="","",B65)</f>
        <v/>
      </c>
      <c r="D65" s="22" t="n"/>
      <c r="E65" s="22" t="n"/>
      <c r="F65" s="23">
        <f>IF(D65="","",D65)</f>
        <v/>
      </c>
      <c r="G65" s="23">
        <f>IF(E65="","",E65)</f>
        <v/>
      </c>
    </row>
    <row r="67" ht="22" customHeight="1">
      <c r="A67" s="13" t="inlineStr">
        <is>
          <t>═══ SEKCIA 4 — HALUCINÁCIE A CELKOVÝ DOJEM ═══</t>
        </is>
      </c>
    </row>
    <row r="68" ht="56" customHeight="1">
      <c r="A68" s="14" t="inlineStr">
        <is>
          <t>Celkové posúdenie. HALUCINÁCIA = systém tvrdí niečo, čo sa v rozhodnutí vôbec nenachádza (vymyslený údaj, suma, meno, fakt...). Toto je pre nás najdôležitejšia metrika — chceme zistiť, ktorý prístup (RAG vs full-doc) menej halucinuje. CELKOVÝ DOJEM = keby ste tento výstup dostali ako právnik, pomohol by vám v praxi?</t>
        </is>
      </c>
    </row>
    <row r="69" ht="22" customHeight="1">
      <c r="A69" s="16" t="inlineStr">
        <is>
          <t>Pole / Otázka</t>
        </is>
      </c>
      <c r="B69" s="16" t="inlineStr">
        <is>
          <t>GPT-4o RAG</t>
        </is>
      </c>
      <c r="C69" s="16" t="inlineStr">
        <is>
          <t>GPT-4o Full</t>
        </is>
      </c>
      <c r="D69" s="16" t="inlineStr">
        <is>
          <t>Gemini RAG</t>
        </is>
      </c>
      <c r="E69" s="16" t="inlineStr">
        <is>
          <t>Gemini Full</t>
        </is>
      </c>
      <c r="F69" s="16" t="inlineStr">
        <is>
          <t>Qwen 3.5 RAG</t>
        </is>
      </c>
      <c r="G69" s="16" t="inlineStr">
        <is>
          <t>Qwen 3.5 Full</t>
        </is>
      </c>
    </row>
    <row r="70" ht="36" customHeight="1">
      <c r="A70" s="21" t="inlineStr">
        <is>
          <t>4.1 Halucinácie  (1 = veľa vymyslených, 10 = žiadne)</t>
        </is>
      </c>
      <c r="B70" s="22" t="n"/>
      <c r="C70" s="22" t="n"/>
      <c r="D70" s="22" t="n"/>
      <c r="E70" s="22" t="n"/>
      <c r="F70" s="22" t="n"/>
      <c r="G70" s="22" t="n"/>
    </row>
    <row r="71" ht="36" customHeight="1">
      <c r="A71" s="21" t="inlineStr">
        <is>
          <t>4.2 Celkový dojem  (1 = nepoužiteľné, 10 = vysoko spoľahlivé)</t>
        </is>
      </c>
      <c r="B71" s="22" t="n"/>
      <c r="C71" s="22" t="n"/>
      <c r="D71" s="22" t="n"/>
      <c r="E71" s="22" t="n"/>
      <c r="F71" s="22" t="n"/>
      <c r="G71" s="22" t="n"/>
    </row>
    <row r="73" ht="22" customHeight="1">
      <c r="A73" s="24" t="inlineStr">
        <is>
          <t>KOMENTÁR — Čo vám na extrakciách najviac prekážalo? (voliteľné)</t>
        </is>
      </c>
    </row>
    <row r="74" ht="35" customHeight="1">
      <c r="A74" s="25" t="n"/>
    </row>
    <row r="75" ht="35" customHeight="1"/>
    <row r="76" ht="35" customHeight="1"/>
    <row r="78" ht="22" customHeight="1">
      <c r="A78" s="24" t="inlineStr">
        <is>
          <t>KOMENTÁR — Čo bolo naopak najlepšie? (voliteľné)</t>
        </is>
      </c>
    </row>
    <row r="79" ht="35" customHeight="1">
      <c r="A79" s="25" t="n"/>
    </row>
    <row r="80" ht="35" customHeight="1"/>
    <row r="81" ht="35" customHeight="1"/>
    <row r="83" ht="24" customHeight="1">
      <c r="A83" s="26" t="inlineStr">
        <is>
          <t>ĎAKUJEM za váš čas a odbornosť!</t>
        </is>
      </c>
    </row>
  </sheetData>
  <mergeCells count="47">
    <mergeCell ref="A14:G14"/>
    <mergeCell ref="B47:F47"/>
    <mergeCell ref="A8:G8"/>
    <mergeCell ref="A22:G22"/>
    <mergeCell ref="B17:G17"/>
    <mergeCell ref="A4:G4"/>
    <mergeCell ref="A38:G38"/>
    <mergeCell ref="B31:F31"/>
    <mergeCell ref="B46:F46"/>
    <mergeCell ref="A29:G29"/>
    <mergeCell ref="A68:G68"/>
    <mergeCell ref="A10:G10"/>
    <mergeCell ref="A28:G28"/>
    <mergeCell ref="A13:G13"/>
    <mergeCell ref="B19:G19"/>
    <mergeCell ref="B43:F43"/>
    <mergeCell ref="A40:G40"/>
    <mergeCell ref="A67:G67"/>
    <mergeCell ref="A39:G39"/>
    <mergeCell ref="B42:F42"/>
    <mergeCell ref="A83:G83"/>
    <mergeCell ref="A24:G24"/>
    <mergeCell ref="A79:G81"/>
    <mergeCell ref="A73:G73"/>
    <mergeCell ref="A11:G11"/>
    <mergeCell ref="A49:G49"/>
    <mergeCell ref="B44:F44"/>
    <mergeCell ref="B20:G20"/>
    <mergeCell ref="A1:G1"/>
    <mergeCell ref="B34:F34"/>
    <mergeCell ref="B35:F35"/>
    <mergeCell ref="A78:G78"/>
    <mergeCell ref="A16:G16"/>
    <mergeCell ref="A7:G7"/>
    <mergeCell ref="B30:F30"/>
    <mergeCell ref="A27:G27"/>
    <mergeCell ref="A74:G76"/>
    <mergeCell ref="B33:F33"/>
    <mergeCell ref="A50:G50"/>
    <mergeCell ref="A2:G2"/>
    <mergeCell ref="B45:F45"/>
    <mergeCell ref="B18:G18"/>
    <mergeCell ref="B36:F36"/>
    <mergeCell ref="B32:F32"/>
    <mergeCell ref="B41:F41"/>
    <mergeCell ref="A5:G5"/>
    <mergeCell ref="A23:G23"/>
  </mergeCells>
  <conditionalFormatting sqref="G31">
    <cfRule type="expression" priority="1" dxfId="0">
      <formula>LEN(TRIM(G31))&gt;0</formula>
    </cfRule>
  </conditionalFormatting>
  <conditionalFormatting sqref="G32">
    <cfRule type="expression" priority="2" dxfId="0">
      <formula>LEN(TRIM(G32))&gt;0</formula>
    </cfRule>
  </conditionalFormatting>
  <conditionalFormatting sqref="G33">
    <cfRule type="expression" priority="3" dxfId="0">
      <formula>LEN(TRIM(G33))&gt;0</formula>
    </cfRule>
  </conditionalFormatting>
  <conditionalFormatting sqref="G34">
    <cfRule type="expression" priority="4" dxfId="0">
      <formula>LEN(TRIM(G34))&gt;0</formula>
    </cfRule>
  </conditionalFormatting>
  <conditionalFormatting sqref="G35">
    <cfRule type="expression" priority="5" dxfId="0">
      <formula>LEN(TRIM(G35))&gt;0</formula>
    </cfRule>
  </conditionalFormatting>
  <conditionalFormatting sqref="G36">
    <cfRule type="expression" priority="6" dxfId="0">
      <formula>LEN(TRIM(G36))&gt;0</formula>
    </cfRule>
  </conditionalFormatting>
  <conditionalFormatting sqref="G42">
    <cfRule type="expression" priority="7" dxfId="0">
      <formula>LEN(TRIM(G42))&gt;0</formula>
    </cfRule>
  </conditionalFormatting>
  <conditionalFormatting sqref="G43">
    <cfRule type="expression" priority="8" dxfId="0">
      <formula>LEN(TRIM(G43))&gt;0</formula>
    </cfRule>
  </conditionalFormatting>
  <conditionalFormatting sqref="G44">
    <cfRule type="expression" priority="9" dxfId="0">
      <formula>LEN(TRIM(G44))&gt;0</formula>
    </cfRule>
  </conditionalFormatting>
  <conditionalFormatting sqref="G45">
    <cfRule type="expression" priority="10" dxfId="0">
      <formula>LEN(TRIM(G45))&gt;0</formula>
    </cfRule>
  </conditionalFormatting>
  <conditionalFormatting sqref="G46">
    <cfRule type="expression" priority="11" dxfId="0">
      <formula>LEN(TRIM(G46))&gt;0</formula>
    </cfRule>
  </conditionalFormatting>
  <conditionalFormatting sqref="G47">
    <cfRule type="expression" priority="12" dxfId="0">
      <formula>LEN(TRIM(G47))&gt;0</formula>
    </cfRule>
  </conditionalFormatting>
  <conditionalFormatting sqref="B53:G53">
    <cfRule type="expression" priority="13" dxfId="0">
      <formula>LEN(TRIM(B53))&gt;0</formula>
    </cfRule>
  </conditionalFormatting>
  <conditionalFormatting sqref="B55:G55">
    <cfRule type="expression" priority="14" dxfId="0">
      <formula>LEN(TRIM(B55))&gt;0</formula>
    </cfRule>
  </conditionalFormatting>
  <conditionalFormatting sqref="B57:G57">
    <cfRule type="expression" priority="15" dxfId="0">
      <formula>LEN(TRIM(B57))&gt;0</formula>
    </cfRule>
  </conditionalFormatting>
  <conditionalFormatting sqref="B59:G59">
    <cfRule type="expression" priority="16" dxfId="0">
      <formula>LEN(TRIM(B59))&gt;0</formula>
    </cfRule>
  </conditionalFormatting>
  <conditionalFormatting sqref="B61:G61">
    <cfRule type="expression" priority="17" dxfId="0">
      <formula>LEN(TRIM(B61))&gt;0</formula>
    </cfRule>
  </conditionalFormatting>
  <conditionalFormatting sqref="B63:G63">
    <cfRule type="expression" priority="18" dxfId="0">
      <formula>LEN(TRIM(B63))&gt;0</formula>
    </cfRule>
  </conditionalFormatting>
  <conditionalFormatting sqref="B65:G65">
    <cfRule type="expression" priority="19" dxfId="0">
      <formula>LEN(TRIM(B65))&gt;0</formula>
    </cfRule>
  </conditionalFormatting>
  <conditionalFormatting sqref="B70:G70">
    <cfRule type="expression" priority="20" dxfId="0">
      <formula>LEN(TRIM(B70))&gt;0</formula>
    </cfRule>
  </conditionalFormatting>
  <conditionalFormatting sqref="B71:G71">
    <cfRule type="expression" priority="21" dxfId="0">
      <formula>LEN(TRIM(B71))&gt;0</formula>
    </cfRule>
  </conditionalFormatting>
  <dataValidations count="2">
    <dataValidation sqref="B53 B55 B57 B59 B61 B63 B65 C53 C55 C57 C59 C61 C63 C65 D53 D55 D57 D59 D61 D63 D65 E53 E55 E57 E59 E61 E63 E65 F53 F55 F57 F59 F61 F63 F65 G53 G55 G57 G59 G61 G63 G65" showDropDown="0" showInputMessage="0" showErrorMessage="0" allowBlank="1" type="list">
      <formula1>"áno,čiastočne,nie,neviem"</formula1>
    </dataValidation>
    <dataValidation sqref="B70 B71 C70 C71 D70 D71 E70 E71 F70 F71 G31 G32 G33 G34 G35 G36 G42 G43 G44 G45 G46 G47 G70 G71" showDropDown="0" showInputMessage="0" showErrorMessage="0" allowBlank="1" errorTitle="Neplatná hodnota" error="Zadajte celé číslo od 1 do 10." type="whole" operator="between">
      <formula1>1</formula1>
      <formula2>10</formula2>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2026-05-08T22:16:32Z</dcterms:created>
  <dcterms:modified xsi:type="dcterms:W3CDTF">2026-05-08T22:16:32Z</dcterms:modified>
</cp:coreProperties>
</file>